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isher\Desktop\FINAL PROJECT\"/>
    </mc:Choice>
  </mc:AlternateContent>
  <xr:revisionPtr revIDLastSave="0" documentId="8_{ED67A035-4B3B-43D1-A94E-39F6C1C6B2B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Лист1" sheetId="1" r:id="rId1"/>
    <sheet name="Лист2" sheetId="2" r:id="rId2"/>
    <sheet name="Анали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2" i="3"/>
  <c r="N3" i="3"/>
  <c r="N4" i="3"/>
  <c r="N5" i="3"/>
  <c r="N6" i="3"/>
  <c r="N7" i="3"/>
  <c r="N2" i="3"/>
  <c r="K4" i="3"/>
  <c r="K3" i="3"/>
  <c r="K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E1" i="3"/>
  <c r="G4" i="3"/>
  <c r="G3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  <c r="E3" i="1"/>
  <c r="F3" i="1"/>
  <c r="G3" i="1"/>
  <c r="H3" i="1"/>
  <c r="I3" i="1"/>
  <c r="E4" i="1"/>
  <c r="H4" i="1" s="1"/>
  <c r="F4" i="1"/>
  <c r="G4" i="1"/>
  <c r="I4" i="1"/>
  <c r="E5" i="1"/>
  <c r="F5" i="1"/>
  <c r="G5" i="1"/>
  <c r="H5" i="1"/>
  <c r="I5" i="1"/>
  <c r="E6" i="1"/>
  <c r="F6" i="1"/>
  <c r="G6" i="1"/>
  <c r="H6" i="1"/>
  <c r="I6" i="1"/>
  <c r="E7" i="1"/>
  <c r="H7" i="1" s="1"/>
  <c r="F7" i="1"/>
  <c r="G7" i="1"/>
  <c r="I7" i="1"/>
  <c r="E8" i="1"/>
  <c r="H8" i="1" s="1"/>
  <c r="F8" i="1"/>
  <c r="G8" i="1"/>
  <c r="I8" i="1"/>
  <c r="E9" i="1"/>
  <c r="F9" i="1"/>
  <c r="G9" i="1"/>
  <c r="H9" i="1"/>
  <c r="I9" i="1"/>
  <c r="E10" i="1"/>
  <c r="F10" i="1"/>
  <c r="G10" i="1"/>
  <c r="H10" i="1"/>
  <c r="I10" i="1"/>
  <c r="E11" i="1"/>
  <c r="H11" i="1" s="1"/>
  <c r="F11" i="1"/>
  <c r="G11" i="1"/>
  <c r="I11" i="1"/>
  <c r="E12" i="1"/>
  <c r="H12" i="1" s="1"/>
  <c r="F12" i="1"/>
  <c r="G12" i="1"/>
  <c r="I12" i="1"/>
  <c r="E13" i="1"/>
  <c r="F13" i="1"/>
  <c r="G13" i="1"/>
  <c r="H13" i="1"/>
  <c r="I13" i="1"/>
  <c r="E14" i="1"/>
  <c r="F14" i="1"/>
  <c r="G14" i="1"/>
  <c r="H14" i="1"/>
  <c r="I14" i="1"/>
  <c r="E15" i="1"/>
  <c r="H15" i="1" s="1"/>
  <c r="F15" i="1"/>
  <c r="G15" i="1"/>
  <c r="I15" i="1"/>
  <c r="E16" i="1"/>
  <c r="H16" i="1" s="1"/>
  <c r="F16" i="1"/>
  <c r="G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H20" i="1" s="1"/>
  <c r="F20" i="1"/>
  <c r="G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H24" i="1" s="1"/>
  <c r="F24" i="1"/>
  <c r="G24" i="1"/>
  <c r="I24" i="1"/>
  <c r="E25" i="1"/>
  <c r="F25" i="1"/>
  <c r="G25" i="1"/>
  <c r="H25" i="1"/>
  <c r="I25" i="1"/>
  <c r="E26" i="1"/>
  <c r="F26" i="1"/>
  <c r="G26" i="1"/>
  <c r="H26" i="1"/>
  <c r="I26" i="1"/>
  <c r="E27" i="1"/>
  <c r="F27" i="1"/>
  <c r="G27" i="1"/>
  <c r="H27" i="1"/>
  <c r="I27" i="1"/>
  <c r="E28" i="1"/>
  <c r="H28" i="1" s="1"/>
  <c r="F28" i="1"/>
  <c r="G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H32" i="1" s="1"/>
  <c r="F32" i="1"/>
  <c r="G32" i="1"/>
  <c r="I32" i="1"/>
  <c r="E33" i="1"/>
  <c r="F33" i="1"/>
  <c r="G33" i="1"/>
  <c r="H33" i="1"/>
  <c r="I33" i="1"/>
  <c r="E34" i="1"/>
  <c r="F34" i="1"/>
  <c r="G34" i="1"/>
  <c r="H34" i="1"/>
  <c r="I34" i="1"/>
  <c r="E35" i="1"/>
  <c r="F35" i="1"/>
  <c r="G35" i="1"/>
  <c r="H35" i="1"/>
  <c r="I35" i="1"/>
  <c r="E36" i="1"/>
  <c r="H36" i="1" s="1"/>
  <c r="F36" i="1"/>
  <c r="G36" i="1"/>
  <c r="I36" i="1"/>
  <c r="E37" i="1"/>
  <c r="H37" i="1" s="1"/>
  <c r="F37" i="1"/>
  <c r="G37" i="1"/>
  <c r="I37" i="1"/>
  <c r="E38" i="1"/>
  <c r="F38" i="1"/>
  <c r="G38" i="1"/>
  <c r="H38" i="1"/>
  <c r="I38" i="1"/>
  <c r="E39" i="1"/>
  <c r="F39" i="1"/>
  <c r="G39" i="1"/>
  <c r="H39" i="1"/>
  <c r="I39" i="1"/>
  <c r="E40" i="1"/>
  <c r="H40" i="1" s="1"/>
  <c r="F40" i="1"/>
  <c r="G40" i="1"/>
  <c r="I40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E44" i="1"/>
  <c r="H44" i="1" s="1"/>
  <c r="F44" i="1"/>
  <c r="G44" i="1"/>
  <c r="I44" i="1"/>
  <c r="E45" i="1"/>
  <c r="H45" i="1" s="1"/>
  <c r="F45" i="1"/>
  <c r="G45" i="1"/>
  <c r="I45" i="1"/>
  <c r="E46" i="1"/>
  <c r="F46" i="1"/>
  <c r="G46" i="1"/>
  <c r="H46" i="1"/>
  <c r="I46" i="1"/>
  <c r="E47" i="1"/>
  <c r="F47" i="1"/>
  <c r="G47" i="1"/>
  <c r="H47" i="1"/>
  <c r="I47" i="1"/>
  <c r="E48" i="1"/>
  <c r="H48" i="1" s="1"/>
  <c r="F48" i="1"/>
  <c r="G48" i="1"/>
  <c r="I48" i="1"/>
  <c r="E49" i="1"/>
  <c r="H49" i="1" s="1"/>
  <c r="F49" i="1"/>
  <c r="G49" i="1"/>
  <c r="I49" i="1"/>
  <c r="E50" i="1"/>
  <c r="F50" i="1"/>
  <c r="G50" i="1"/>
  <c r="H50" i="1"/>
  <c r="I50" i="1"/>
  <c r="E51" i="1"/>
  <c r="F51" i="1"/>
  <c r="G51" i="1"/>
  <c r="H51" i="1"/>
  <c r="I51" i="1"/>
  <c r="E52" i="1"/>
  <c r="H52" i="1" s="1"/>
  <c r="F52" i="1"/>
  <c r="G52" i="1"/>
  <c r="I52" i="1"/>
  <c r="E53" i="1"/>
  <c r="H53" i="1" s="1"/>
  <c r="F53" i="1"/>
  <c r="G53" i="1"/>
  <c r="I53" i="1"/>
  <c r="E54" i="1"/>
  <c r="F54" i="1"/>
  <c r="G54" i="1"/>
  <c r="H54" i="1"/>
  <c r="I54" i="1"/>
  <c r="E55" i="1"/>
  <c r="F55" i="1"/>
  <c r="G55" i="1"/>
  <c r="H55" i="1"/>
  <c r="I55" i="1"/>
  <c r="E56" i="1"/>
  <c r="H56" i="1" s="1"/>
  <c r="F56" i="1"/>
  <c r="G56" i="1"/>
  <c r="I56" i="1"/>
  <c r="E57" i="1"/>
  <c r="F57" i="1"/>
  <c r="G57" i="1"/>
  <c r="H57" i="1"/>
  <c r="I57" i="1"/>
  <c r="E58" i="1"/>
  <c r="H58" i="1" s="1"/>
  <c r="F58" i="1"/>
  <c r="G58" i="1"/>
  <c r="I58" i="1"/>
  <c r="E59" i="1"/>
  <c r="F59" i="1"/>
  <c r="G59" i="1"/>
  <c r="H59" i="1"/>
  <c r="I59" i="1"/>
  <c r="E60" i="1"/>
  <c r="H60" i="1" s="1"/>
  <c r="F60" i="1"/>
  <c r="G60" i="1"/>
  <c r="I60" i="1"/>
  <c r="E61" i="1"/>
  <c r="F61" i="1"/>
  <c r="G61" i="1"/>
  <c r="H61" i="1"/>
  <c r="I61" i="1"/>
  <c r="E62" i="1"/>
  <c r="F62" i="1"/>
  <c r="G62" i="1"/>
  <c r="H62" i="1"/>
  <c r="I62" i="1"/>
  <c r="E63" i="1"/>
  <c r="F63" i="1"/>
  <c r="G63" i="1"/>
  <c r="H63" i="1"/>
  <c r="I63" i="1"/>
  <c r="E64" i="1"/>
  <c r="H64" i="1" s="1"/>
  <c r="F64" i="1"/>
  <c r="G64" i="1"/>
  <c r="I64" i="1"/>
  <c r="E65" i="1"/>
  <c r="F65" i="1"/>
  <c r="G65" i="1"/>
  <c r="H65" i="1"/>
  <c r="I65" i="1"/>
  <c r="E66" i="1"/>
  <c r="H66" i="1" s="1"/>
  <c r="F66" i="1"/>
  <c r="G66" i="1"/>
  <c r="I66" i="1"/>
  <c r="E67" i="1"/>
  <c r="F67" i="1"/>
  <c r="G67" i="1"/>
  <c r="H67" i="1"/>
  <c r="I67" i="1"/>
  <c r="E68" i="1"/>
  <c r="H68" i="1" s="1"/>
  <c r="F68" i="1"/>
  <c r="G68" i="1"/>
  <c r="I68" i="1"/>
  <c r="E69" i="1"/>
  <c r="F69" i="1"/>
  <c r="G69" i="1"/>
  <c r="H69" i="1"/>
  <c r="I69" i="1"/>
  <c r="E70" i="1"/>
  <c r="H70" i="1" s="1"/>
  <c r="F70" i="1"/>
  <c r="G70" i="1"/>
  <c r="I70" i="1"/>
  <c r="E71" i="1"/>
  <c r="F71" i="1"/>
  <c r="G71" i="1"/>
  <c r="H71" i="1"/>
  <c r="I71" i="1"/>
  <c r="E72" i="1"/>
  <c r="H72" i="1" s="1"/>
  <c r="F72" i="1"/>
  <c r="G72" i="1"/>
  <c r="I72" i="1"/>
  <c r="E73" i="1"/>
  <c r="F73" i="1"/>
  <c r="G73" i="1"/>
  <c r="H73" i="1"/>
  <c r="I73" i="1"/>
  <c r="E74" i="1"/>
  <c r="H74" i="1" s="1"/>
  <c r="F74" i="1"/>
  <c r="G74" i="1"/>
  <c r="I74" i="1"/>
  <c r="E75" i="1"/>
  <c r="F75" i="1"/>
  <c r="G75" i="1"/>
  <c r="H75" i="1"/>
  <c r="I75" i="1"/>
  <c r="E76" i="1"/>
  <c r="H76" i="1" s="1"/>
  <c r="F76" i="1"/>
  <c r="G76" i="1"/>
  <c r="I76" i="1"/>
  <c r="E77" i="1"/>
  <c r="F77" i="1"/>
  <c r="G77" i="1"/>
  <c r="H77" i="1"/>
  <c r="I77" i="1"/>
  <c r="E78" i="1"/>
  <c r="F78" i="1"/>
  <c r="G78" i="1"/>
  <c r="H78" i="1"/>
  <c r="I78" i="1"/>
  <c r="E79" i="1"/>
  <c r="H79" i="1" s="1"/>
  <c r="F79" i="1"/>
  <c r="G79" i="1"/>
  <c r="I79" i="1"/>
  <c r="E80" i="1"/>
  <c r="H80" i="1" s="1"/>
  <c r="F80" i="1"/>
  <c r="G80" i="1"/>
  <c r="I80" i="1"/>
  <c r="E81" i="1"/>
  <c r="F81" i="1"/>
  <c r="G81" i="1"/>
  <c r="H81" i="1"/>
  <c r="I81" i="1"/>
  <c r="E82" i="1"/>
  <c r="F82" i="1"/>
  <c r="G82" i="1"/>
  <c r="H82" i="1"/>
  <c r="I82" i="1"/>
  <c r="E83" i="1"/>
  <c r="F83" i="1"/>
  <c r="G83" i="1"/>
  <c r="H83" i="1"/>
  <c r="I83" i="1"/>
  <c r="E84" i="1"/>
  <c r="H84" i="1" s="1"/>
  <c r="F84" i="1"/>
  <c r="G84" i="1"/>
  <c r="I84" i="1"/>
  <c r="E85" i="1"/>
  <c r="F85" i="1"/>
  <c r="G85" i="1"/>
  <c r="H85" i="1"/>
  <c r="I85" i="1"/>
  <c r="E86" i="1"/>
  <c r="F86" i="1"/>
  <c r="G86" i="1"/>
  <c r="H86" i="1"/>
  <c r="I86" i="1"/>
  <c r="E87" i="1"/>
  <c r="H87" i="1" s="1"/>
  <c r="F87" i="1"/>
  <c r="G87" i="1"/>
  <c r="I87" i="1"/>
  <c r="E88" i="1"/>
  <c r="H88" i="1" s="1"/>
  <c r="F88" i="1"/>
  <c r="G88" i="1"/>
  <c r="I88" i="1"/>
  <c r="E89" i="1"/>
  <c r="F89" i="1"/>
  <c r="G89" i="1"/>
  <c r="H89" i="1"/>
  <c r="I89" i="1"/>
  <c r="E90" i="1"/>
  <c r="F90" i="1"/>
  <c r="G90" i="1"/>
  <c r="H90" i="1"/>
  <c r="I90" i="1"/>
  <c r="E91" i="1"/>
  <c r="H91" i="1" s="1"/>
  <c r="F91" i="1"/>
  <c r="G91" i="1"/>
  <c r="I91" i="1"/>
  <c r="E92" i="1"/>
  <c r="H92" i="1" s="1"/>
  <c r="F92" i="1"/>
  <c r="G92" i="1"/>
  <c r="I92" i="1"/>
  <c r="E93" i="1"/>
  <c r="F93" i="1"/>
  <c r="G93" i="1"/>
  <c r="H93" i="1"/>
  <c r="I93" i="1"/>
  <c r="E94" i="1"/>
  <c r="F94" i="1"/>
  <c r="G94" i="1"/>
  <c r="H94" i="1"/>
  <c r="I94" i="1"/>
  <c r="E95" i="1"/>
  <c r="H95" i="1" s="1"/>
  <c r="F95" i="1"/>
  <c r="G95" i="1"/>
  <c r="I95" i="1"/>
  <c r="E96" i="1"/>
  <c r="H96" i="1" s="1"/>
  <c r="F96" i="1"/>
  <c r="G96" i="1"/>
  <c r="I96" i="1"/>
  <c r="E97" i="1"/>
  <c r="F97" i="1"/>
  <c r="G97" i="1"/>
  <c r="H97" i="1"/>
  <c r="I97" i="1"/>
  <c r="E98" i="1"/>
  <c r="F98" i="1"/>
  <c r="G98" i="1"/>
  <c r="H98" i="1"/>
  <c r="I98" i="1"/>
  <c r="E99" i="1"/>
  <c r="F99" i="1"/>
  <c r="G99" i="1"/>
  <c r="H99" i="1"/>
  <c r="I99" i="1"/>
  <c r="E100" i="1"/>
  <c r="H100" i="1" s="1"/>
  <c r="F100" i="1"/>
  <c r="G100" i="1"/>
  <c r="I100" i="1"/>
  <c r="E101" i="1"/>
  <c r="F101" i="1"/>
  <c r="G101" i="1"/>
  <c r="H101" i="1"/>
  <c r="I101" i="1"/>
  <c r="E102" i="1"/>
  <c r="F102" i="1"/>
  <c r="G102" i="1"/>
  <c r="H102" i="1"/>
  <c r="I102" i="1"/>
  <c r="E103" i="1"/>
  <c r="F103" i="1"/>
  <c r="G103" i="1"/>
  <c r="H103" i="1"/>
  <c r="I103" i="1"/>
  <c r="E104" i="1"/>
  <c r="H104" i="1" s="1"/>
  <c r="F104" i="1"/>
  <c r="G104" i="1"/>
  <c r="I104" i="1"/>
  <c r="E105" i="1"/>
  <c r="F105" i="1"/>
  <c r="G105" i="1"/>
  <c r="H105" i="1"/>
  <c r="I105" i="1"/>
  <c r="E106" i="1"/>
  <c r="F106" i="1"/>
  <c r="G106" i="1"/>
  <c r="H106" i="1"/>
  <c r="I106" i="1"/>
  <c r="E107" i="1"/>
  <c r="F107" i="1"/>
  <c r="G107" i="1"/>
  <c r="H107" i="1"/>
  <c r="I107" i="1"/>
  <c r="E108" i="1"/>
  <c r="H108" i="1" s="1"/>
  <c r="F108" i="1"/>
  <c r="G108" i="1"/>
  <c r="I108" i="1"/>
  <c r="E109" i="1"/>
  <c r="F109" i="1"/>
  <c r="G109" i="1"/>
  <c r="H109" i="1"/>
  <c r="I109" i="1"/>
  <c r="E110" i="1"/>
  <c r="F110" i="1"/>
  <c r="G110" i="1"/>
  <c r="H110" i="1"/>
  <c r="I110" i="1"/>
  <c r="E111" i="1"/>
  <c r="F111" i="1"/>
  <c r="G111" i="1"/>
  <c r="H111" i="1"/>
  <c r="I111" i="1"/>
  <c r="E112" i="1"/>
  <c r="H112" i="1" s="1"/>
  <c r="F112" i="1"/>
  <c r="G112" i="1"/>
  <c r="I112" i="1"/>
  <c r="E113" i="1"/>
  <c r="F113" i="1"/>
  <c r="G113" i="1"/>
  <c r="H113" i="1"/>
  <c r="I113" i="1"/>
  <c r="E114" i="1"/>
  <c r="F114" i="1"/>
  <c r="G114" i="1"/>
  <c r="H114" i="1"/>
  <c r="I114" i="1"/>
  <c r="E115" i="1"/>
  <c r="F115" i="1"/>
  <c r="G115" i="1"/>
  <c r="H115" i="1"/>
  <c r="I115" i="1"/>
  <c r="E116" i="1"/>
  <c r="H116" i="1" s="1"/>
  <c r="F116" i="1"/>
  <c r="G116" i="1"/>
  <c r="I116" i="1"/>
  <c r="E117" i="1"/>
  <c r="H117" i="1" s="1"/>
  <c r="F117" i="1"/>
  <c r="G117" i="1"/>
  <c r="I117" i="1"/>
  <c r="E118" i="1"/>
  <c r="F118" i="1"/>
  <c r="G118" i="1"/>
  <c r="H118" i="1"/>
  <c r="I118" i="1"/>
  <c r="E119" i="1"/>
  <c r="F119" i="1"/>
  <c r="G119" i="1"/>
  <c r="H119" i="1"/>
  <c r="I119" i="1"/>
  <c r="E120" i="1"/>
  <c r="H120" i="1" s="1"/>
  <c r="F120" i="1"/>
  <c r="G120" i="1"/>
  <c r="I120" i="1"/>
  <c r="E121" i="1"/>
  <c r="F121" i="1"/>
  <c r="G121" i="1"/>
  <c r="H121" i="1"/>
  <c r="I121" i="1"/>
  <c r="E122" i="1"/>
  <c r="F122" i="1"/>
  <c r="G122" i="1"/>
  <c r="H122" i="1"/>
  <c r="I122" i="1"/>
  <c r="E123" i="1"/>
  <c r="F123" i="1"/>
  <c r="G123" i="1"/>
  <c r="H123" i="1"/>
  <c r="I123" i="1"/>
  <c r="E124" i="1"/>
  <c r="H124" i="1" s="1"/>
  <c r="F124" i="1"/>
  <c r="G124" i="1"/>
  <c r="I124" i="1"/>
  <c r="E125" i="1"/>
  <c r="H125" i="1" s="1"/>
  <c r="F125" i="1"/>
  <c r="G125" i="1"/>
  <c r="I125" i="1"/>
  <c r="E126" i="1"/>
  <c r="F126" i="1"/>
  <c r="G126" i="1"/>
  <c r="H126" i="1"/>
  <c r="I126" i="1"/>
  <c r="E127" i="1"/>
  <c r="F127" i="1"/>
  <c r="G127" i="1"/>
  <c r="H127" i="1"/>
  <c r="I127" i="1"/>
  <c r="E128" i="1"/>
  <c r="H128" i="1" s="1"/>
  <c r="F128" i="1"/>
  <c r="G128" i="1"/>
  <c r="I128" i="1"/>
  <c r="E129" i="1"/>
  <c r="H129" i="1" s="1"/>
  <c r="F129" i="1"/>
  <c r="G129" i="1"/>
  <c r="I129" i="1"/>
  <c r="E130" i="1"/>
  <c r="F130" i="1"/>
  <c r="G130" i="1"/>
  <c r="H130" i="1"/>
  <c r="I130" i="1"/>
  <c r="E131" i="1"/>
  <c r="F131" i="1"/>
  <c r="G131" i="1"/>
  <c r="H131" i="1"/>
  <c r="I131" i="1"/>
  <c r="E132" i="1"/>
  <c r="H132" i="1" s="1"/>
  <c r="F132" i="1"/>
  <c r="G132" i="1"/>
  <c r="I132" i="1"/>
  <c r="E133" i="1"/>
  <c r="H133" i="1" s="1"/>
  <c r="F133" i="1"/>
  <c r="G133" i="1"/>
  <c r="I133" i="1"/>
  <c r="E134" i="1"/>
  <c r="F134" i="1"/>
  <c r="G134" i="1"/>
  <c r="H134" i="1"/>
  <c r="I134" i="1"/>
  <c r="E135" i="1"/>
  <c r="F135" i="1"/>
  <c r="G135" i="1"/>
  <c r="H135" i="1"/>
  <c r="I135" i="1"/>
  <c r="E136" i="1"/>
  <c r="H136" i="1" s="1"/>
  <c r="F136" i="1"/>
  <c r="G136" i="1"/>
  <c r="I136" i="1"/>
  <c r="E137" i="1"/>
  <c r="F137" i="1"/>
  <c r="G137" i="1"/>
  <c r="H137" i="1"/>
  <c r="I137" i="1"/>
  <c r="E138" i="1"/>
  <c r="H138" i="1" s="1"/>
  <c r="F138" i="1"/>
  <c r="G138" i="1"/>
  <c r="I138" i="1"/>
  <c r="E139" i="1"/>
  <c r="F139" i="1"/>
  <c r="G139" i="1"/>
  <c r="H139" i="1"/>
  <c r="I139" i="1"/>
  <c r="E140" i="1"/>
  <c r="H140" i="1" s="1"/>
  <c r="F140" i="1"/>
  <c r="G140" i="1"/>
  <c r="I140" i="1"/>
  <c r="E141" i="1"/>
  <c r="F141" i="1"/>
  <c r="G141" i="1"/>
  <c r="H141" i="1"/>
  <c r="I141" i="1"/>
  <c r="E142" i="1"/>
  <c r="F142" i="1"/>
  <c r="G142" i="1"/>
  <c r="H142" i="1"/>
  <c r="I142" i="1"/>
  <c r="E143" i="1"/>
  <c r="F143" i="1"/>
  <c r="G143" i="1"/>
  <c r="H143" i="1"/>
  <c r="I143" i="1"/>
  <c r="E144" i="1"/>
  <c r="H144" i="1" s="1"/>
  <c r="F144" i="1"/>
  <c r="G144" i="1"/>
  <c r="I144" i="1"/>
  <c r="E145" i="1"/>
  <c r="F145" i="1"/>
  <c r="G145" i="1"/>
  <c r="H145" i="1"/>
  <c r="I145" i="1"/>
  <c r="E146" i="1"/>
  <c r="H146" i="1" s="1"/>
  <c r="F146" i="1"/>
  <c r="G146" i="1"/>
  <c r="I146" i="1"/>
  <c r="E147" i="1"/>
  <c r="F147" i="1"/>
  <c r="G147" i="1"/>
  <c r="H147" i="1"/>
  <c r="I147" i="1"/>
  <c r="E148" i="1"/>
  <c r="H148" i="1" s="1"/>
  <c r="F148" i="1"/>
  <c r="G148" i="1"/>
  <c r="I148" i="1"/>
  <c r="E149" i="1"/>
  <c r="F149" i="1"/>
  <c r="G149" i="1"/>
  <c r="H149" i="1"/>
  <c r="I149" i="1"/>
  <c r="E150" i="1"/>
  <c r="H150" i="1" s="1"/>
  <c r="F150" i="1"/>
  <c r="G150" i="1"/>
  <c r="I150" i="1"/>
  <c r="E151" i="1"/>
  <c r="F151" i="1"/>
  <c r="G151" i="1"/>
  <c r="H151" i="1"/>
  <c r="I151" i="1"/>
  <c r="E152" i="1"/>
  <c r="H152" i="1" s="1"/>
  <c r="F152" i="1"/>
  <c r="G152" i="1"/>
  <c r="I152" i="1"/>
  <c r="E153" i="1"/>
  <c r="F153" i="1"/>
  <c r="G153" i="1"/>
  <c r="H153" i="1"/>
  <c r="I153" i="1"/>
  <c r="E154" i="1"/>
  <c r="H154" i="1" s="1"/>
  <c r="F154" i="1"/>
  <c r="G154" i="1"/>
  <c r="I154" i="1"/>
  <c r="E155" i="1"/>
  <c r="F155" i="1"/>
  <c r="G155" i="1"/>
  <c r="H155" i="1"/>
  <c r="I155" i="1"/>
  <c r="E156" i="1"/>
  <c r="H156" i="1" s="1"/>
  <c r="F156" i="1"/>
  <c r="G156" i="1"/>
  <c r="I156" i="1"/>
  <c r="E157" i="1"/>
  <c r="F157" i="1"/>
  <c r="G157" i="1"/>
  <c r="H157" i="1"/>
  <c r="I157" i="1"/>
  <c r="E158" i="1"/>
  <c r="F158" i="1"/>
  <c r="G158" i="1"/>
  <c r="H158" i="1"/>
  <c r="I158" i="1"/>
  <c r="E159" i="1"/>
  <c r="H159" i="1" s="1"/>
  <c r="F159" i="1"/>
  <c r="G159" i="1"/>
  <c r="I159" i="1"/>
  <c r="E160" i="1"/>
  <c r="H160" i="1" s="1"/>
  <c r="F160" i="1"/>
  <c r="G160" i="1"/>
  <c r="I160" i="1"/>
  <c r="E161" i="1"/>
  <c r="F161" i="1"/>
  <c r="G161" i="1"/>
  <c r="H161" i="1"/>
  <c r="I161" i="1"/>
  <c r="E162" i="1"/>
  <c r="F162" i="1"/>
  <c r="G162" i="1"/>
  <c r="H162" i="1"/>
  <c r="I162" i="1"/>
  <c r="E163" i="1"/>
  <c r="F163" i="1"/>
  <c r="G163" i="1"/>
  <c r="H163" i="1"/>
  <c r="I163" i="1"/>
  <c r="E164" i="1"/>
  <c r="H164" i="1" s="1"/>
  <c r="F164" i="1"/>
  <c r="G164" i="1"/>
  <c r="I164" i="1"/>
  <c r="E165" i="1"/>
  <c r="F165" i="1"/>
  <c r="G165" i="1"/>
  <c r="H165" i="1"/>
  <c r="I165" i="1"/>
  <c r="E166" i="1"/>
  <c r="F166" i="1"/>
  <c r="G166" i="1"/>
  <c r="H166" i="1"/>
  <c r="I166" i="1"/>
  <c r="E167" i="1"/>
  <c r="H167" i="1" s="1"/>
  <c r="F167" i="1"/>
  <c r="G167" i="1"/>
  <c r="I167" i="1"/>
  <c r="E168" i="1"/>
  <c r="H168" i="1" s="1"/>
  <c r="F168" i="1"/>
  <c r="G168" i="1"/>
  <c r="I168" i="1"/>
  <c r="E169" i="1"/>
  <c r="F169" i="1"/>
  <c r="G169" i="1"/>
  <c r="H169" i="1"/>
  <c r="I169" i="1"/>
  <c r="E170" i="1"/>
  <c r="F170" i="1"/>
  <c r="G170" i="1"/>
  <c r="H170" i="1"/>
  <c r="I170" i="1"/>
  <c r="E171" i="1"/>
  <c r="H171" i="1" s="1"/>
  <c r="F171" i="1"/>
  <c r="G171" i="1"/>
  <c r="I171" i="1"/>
  <c r="E172" i="1"/>
  <c r="H172" i="1" s="1"/>
  <c r="F172" i="1"/>
  <c r="G172" i="1"/>
  <c r="I172" i="1"/>
  <c r="E173" i="1"/>
  <c r="F173" i="1"/>
  <c r="G173" i="1"/>
  <c r="H173" i="1"/>
  <c r="I173" i="1"/>
  <c r="E174" i="1"/>
  <c r="F174" i="1"/>
  <c r="G174" i="1"/>
  <c r="H174" i="1"/>
  <c r="I174" i="1"/>
  <c r="E175" i="1"/>
  <c r="H175" i="1" s="1"/>
  <c r="F175" i="1"/>
  <c r="G175" i="1"/>
  <c r="I175" i="1"/>
  <c r="E176" i="1"/>
  <c r="H176" i="1" s="1"/>
  <c r="F176" i="1"/>
  <c r="G176" i="1"/>
  <c r="I176" i="1"/>
  <c r="E177" i="1"/>
  <c r="F177" i="1"/>
  <c r="G177" i="1"/>
  <c r="H177" i="1"/>
  <c r="I177" i="1"/>
  <c r="E178" i="1"/>
  <c r="F178" i="1"/>
  <c r="G178" i="1"/>
  <c r="H178" i="1"/>
  <c r="I178" i="1"/>
  <c r="E179" i="1"/>
  <c r="F179" i="1"/>
  <c r="G179" i="1"/>
  <c r="H179" i="1"/>
  <c r="I179" i="1"/>
  <c r="E180" i="1"/>
  <c r="H180" i="1" s="1"/>
  <c r="F180" i="1"/>
  <c r="G180" i="1"/>
  <c r="I180" i="1"/>
  <c r="E181" i="1"/>
  <c r="F181" i="1"/>
  <c r="G181" i="1"/>
  <c r="H181" i="1"/>
  <c r="I181" i="1"/>
  <c r="E182" i="1"/>
  <c r="F182" i="1"/>
  <c r="G182" i="1"/>
  <c r="H182" i="1"/>
  <c r="I182" i="1"/>
  <c r="E183" i="1"/>
  <c r="F183" i="1"/>
  <c r="G183" i="1"/>
  <c r="H183" i="1"/>
  <c r="I183" i="1"/>
  <c r="E184" i="1"/>
  <c r="H184" i="1" s="1"/>
  <c r="F184" i="1"/>
  <c r="G184" i="1"/>
  <c r="I184" i="1"/>
  <c r="E185" i="1"/>
  <c r="F185" i="1"/>
  <c r="G185" i="1"/>
  <c r="H185" i="1"/>
  <c r="I185" i="1"/>
  <c r="E186" i="1"/>
  <c r="F186" i="1"/>
  <c r="G186" i="1"/>
  <c r="H186" i="1"/>
  <c r="I186" i="1"/>
  <c r="E187" i="1"/>
  <c r="F187" i="1"/>
  <c r="G187" i="1"/>
  <c r="H187" i="1"/>
  <c r="I187" i="1"/>
  <c r="E188" i="1"/>
  <c r="H188" i="1" s="1"/>
  <c r="F188" i="1"/>
  <c r="G188" i="1"/>
  <c r="I188" i="1"/>
  <c r="E189" i="1"/>
  <c r="F189" i="1"/>
  <c r="G189" i="1"/>
  <c r="H189" i="1"/>
  <c r="I189" i="1"/>
  <c r="E190" i="1"/>
  <c r="F190" i="1"/>
  <c r="G190" i="1"/>
  <c r="H190" i="1"/>
  <c r="I190" i="1"/>
  <c r="E191" i="1"/>
  <c r="F191" i="1"/>
  <c r="G191" i="1"/>
  <c r="H191" i="1"/>
  <c r="I191" i="1"/>
  <c r="E192" i="1"/>
  <c r="H192" i="1" s="1"/>
  <c r="F192" i="1"/>
  <c r="G192" i="1"/>
  <c r="I192" i="1"/>
  <c r="E193" i="1"/>
  <c r="F193" i="1"/>
  <c r="G193" i="1"/>
  <c r="H193" i="1"/>
  <c r="I193" i="1"/>
  <c r="E194" i="1"/>
  <c r="F194" i="1"/>
  <c r="G194" i="1"/>
  <c r="H194" i="1"/>
  <c r="I194" i="1"/>
  <c r="E195" i="1"/>
  <c r="F195" i="1"/>
  <c r="G195" i="1"/>
  <c r="H195" i="1"/>
  <c r="I195" i="1"/>
  <c r="E196" i="1"/>
  <c r="H196" i="1" s="1"/>
  <c r="F196" i="1"/>
  <c r="G196" i="1"/>
  <c r="I196" i="1"/>
  <c r="E197" i="1"/>
  <c r="F197" i="1"/>
  <c r="G197" i="1"/>
  <c r="H197" i="1"/>
  <c r="I197" i="1"/>
  <c r="E198" i="1"/>
  <c r="F198" i="1"/>
  <c r="G198" i="1"/>
  <c r="H198" i="1"/>
  <c r="I198" i="1"/>
  <c r="E199" i="1"/>
  <c r="F199" i="1"/>
  <c r="G199" i="1"/>
  <c r="H199" i="1"/>
  <c r="I199" i="1"/>
  <c r="E200" i="1"/>
  <c r="H200" i="1" s="1"/>
  <c r="F200" i="1"/>
  <c r="G200" i="1"/>
  <c r="I200" i="1"/>
  <c r="E201" i="1"/>
  <c r="F201" i="1"/>
  <c r="G201" i="1"/>
  <c r="H201" i="1"/>
  <c r="I201" i="1"/>
  <c r="E202" i="1"/>
  <c r="F202" i="1"/>
  <c r="G202" i="1"/>
  <c r="H202" i="1"/>
  <c r="I202" i="1"/>
  <c r="E203" i="1"/>
  <c r="F203" i="1"/>
  <c r="G203" i="1"/>
  <c r="H203" i="1"/>
  <c r="I203" i="1"/>
  <c r="E204" i="1"/>
  <c r="H204" i="1" s="1"/>
  <c r="F204" i="1"/>
  <c r="G204" i="1"/>
  <c r="I204" i="1"/>
  <c r="E205" i="1"/>
  <c r="H205" i="1" s="1"/>
  <c r="F205" i="1"/>
  <c r="G205" i="1"/>
  <c r="I205" i="1"/>
  <c r="E206" i="1"/>
  <c r="F206" i="1"/>
  <c r="G206" i="1"/>
  <c r="H206" i="1"/>
  <c r="I206" i="1"/>
  <c r="E207" i="1"/>
  <c r="F207" i="1"/>
  <c r="G207" i="1"/>
  <c r="H207" i="1"/>
  <c r="I207" i="1"/>
  <c r="E208" i="1"/>
  <c r="H208" i="1" s="1"/>
  <c r="F208" i="1"/>
  <c r="G208" i="1"/>
  <c r="I208" i="1"/>
  <c r="E209" i="1"/>
  <c r="H209" i="1" s="1"/>
  <c r="F209" i="1"/>
  <c r="G209" i="1"/>
  <c r="I209" i="1"/>
  <c r="E210" i="1"/>
  <c r="F210" i="1"/>
  <c r="G210" i="1"/>
  <c r="H210" i="1"/>
  <c r="I210" i="1"/>
  <c r="E211" i="1"/>
  <c r="F211" i="1"/>
  <c r="G211" i="1"/>
  <c r="H211" i="1"/>
  <c r="I211" i="1"/>
  <c r="E212" i="1"/>
  <c r="H212" i="1" s="1"/>
  <c r="F212" i="1"/>
  <c r="G212" i="1"/>
  <c r="I212" i="1"/>
  <c r="E213" i="1"/>
  <c r="H213" i="1" s="1"/>
  <c r="F213" i="1"/>
  <c r="G213" i="1"/>
  <c r="I213" i="1"/>
  <c r="E214" i="1"/>
  <c r="F214" i="1"/>
  <c r="G214" i="1"/>
  <c r="H214" i="1"/>
  <c r="I214" i="1"/>
  <c r="E215" i="1"/>
  <c r="F215" i="1"/>
  <c r="G215" i="1"/>
  <c r="H215" i="1"/>
  <c r="I215" i="1"/>
  <c r="E216" i="1"/>
  <c r="H216" i="1" s="1"/>
  <c r="F216" i="1"/>
  <c r="G216" i="1"/>
  <c r="I216" i="1"/>
  <c r="E217" i="1"/>
  <c r="F217" i="1"/>
  <c r="G217" i="1"/>
  <c r="H217" i="1"/>
  <c r="I217" i="1"/>
  <c r="E218" i="1"/>
  <c r="F218" i="1"/>
  <c r="G218" i="1"/>
  <c r="H218" i="1"/>
  <c r="I218" i="1"/>
  <c r="E219" i="1"/>
  <c r="F219" i="1"/>
  <c r="G219" i="1"/>
  <c r="H219" i="1"/>
  <c r="I219" i="1"/>
  <c r="E220" i="1"/>
  <c r="H220" i="1" s="1"/>
  <c r="F220" i="1"/>
  <c r="G220" i="1"/>
  <c r="I220" i="1"/>
  <c r="E221" i="1"/>
  <c r="F221" i="1"/>
  <c r="G221" i="1"/>
  <c r="H221" i="1"/>
  <c r="I221" i="1"/>
  <c r="E222" i="1"/>
  <c r="F222" i="1"/>
  <c r="G222" i="1"/>
  <c r="H222" i="1"/>
  <c r="I222" i="1"/>
  <c r="E223" i="1"/>
  <c r="F223" i="1"/>
  <c r="G223" i="1"/>
  <c r="H223" i="1"/>
  <c r="I223" i="1"/>
  <c r="E224" i="1"/>
  <c r="H224" i="1" s="1"/>
  <c r="F224" i="1"/>
  <c r="G224" i="1"/>
  <c r="I224" i="1"/>
  <c r="E225" i="1"/>
  <c r="F225" i="1"/>
  <c r="G225" i="1"/>
  <c r="H225" i="1"/>
  <c r="I225" i="1"/>
  <c r="E226" i="1"/>
  <c r="H226" i="1" s="1"/>
  <c r="F226" i="1"/>
  <c r="G226" i="1"/>
  <c r="I226" i="1"/>
  <c r="E227" i="1"/>
  <c r="F227" i="1"/>
  <c r="G227" i="1"/>
  <c r="H227" i="1"/>
  <c r="I227" i="1"/>
  <c r="E228" i="1"/>
  <c r="H228" i="1" s="1"/>
  <c r="F228" i="1"/>
  <c r="G228" i="1"/>
  <c r="I228" i="1"/>
  <c r="E229" i="1"/>
  <c r="F229" i="1"/>
  <c r="G229" i="1"/>
  <c r="H229" i="1"/>
  <c r="I229" i="1"/>
  <c r="E230" i="1"/>
  <c r="H230" i="1" s="1"/>
  <c r="F230" i="1"/>
  <c r="G230" i="1"/>
  <c r="I230" i="1"/>
  <c r="E231" i="1"/>
  <c r="F231" i="1"/>
  <c r="G231" i="1"/>
  <c r="H231" i="1"/>
  <c r="I231" i="1"/>
  <c r="E232" i="1"/>
  <c r="H232" i="1" s="1"/>
  <c r="F232" i="1"/>
  <c r="G232" i="1"/>
  <c r="I232" i="1"/>
  <c r="E233" i="1"/>
  <c r="F233" i="1"/>
  <c r="G233" i="1"/>
  <c r="H233" i="1"/>
  <c r="I233" i="1"/>
  <c r="E234" i="1"/>
  <c r="H234" i="1" s="1"/>
  <c r="F234" i="1"/>
  <c r="G234" i="1"/>
  <c r="I234" i="1"/>
  <c r="E235" i="1"/>
  <c r="F235" i="1"/>
  <c r="G235" i="1"/>
  <c r="H235" i="1"/>
  <c r="I235" i="1"/>
  <c r="E236" i="1"/>
  <c r="H236" i="1" s="1"/>
  <c r="F236" i="1"/>
  <c r="G236" i="1"/>
  <c r="I236" i="1"/>
  <c r="E237" i="1"/>
  <c r="F237" i="1"/>
  <c r="G237" i="1"/>
  <c r="H237" i="1"/>
  <c r="I237" i="1"/>
  <c r="E238" i="1"/>
  <c r="F238" i="1"/>
  <c r="G238" i="1"/>
  <c r="H238" i="1"/>
  <c r="I238" i="1"/>
  <c r="E239" i="1"/>
  <c r="F239" i="1"/>
  <c r="G239" i="1"/>
  <c r="H239" i="1"/>
  <c r="I239" i="1"/>
  <c r="E240" i="1"/>
  <c r="H240" i="1" s="1"/>
  <c r="F240" i="1"/>
  <c r="G240" i="1"/>
  <c r="I240" i="1"/>
  <c r="E241" i="1"/>
  <c r="F241" i="1"/>
  <c r="G241" i="1"/>
  <c r="H241" i="1"/>
  <c r="I241" i="1"/>
  <c r="E242" i="1"/>
  <c r="F242" i="1"/>
  <c r="G242" i="1"/>
  <c r="H242" i="1"/>
  <c r="I242" i="1"/>
  <c r="E243" i="1"/>
  <c r="F243" i="1"/>
  <c r="G243" i="1"/>
  <c r="H243" i="1"/>
  <c r="I243" i="1"/>
  <c r="E244" i="1"/>
  <c r="H244" i="1" s="1"/>
  <c r="F244" i="1"/>
  <c r="G244" i="1"/>
  <c r="I244" i="1"/>
  <c r="E245" i="1"/>
  <c r="F245" i="1"/>
  <c r="G245" i="1"/>
  <c r="H245" i="1"/>
  <c r="I245" i="1"/>
  <c r="E246" i="1"/>
  <c r="F246" i="1"/>
  <c r="G246" i="1"/>
  <c r="H246" i="1"/>
  <c r="I246" i="1"/>
  <c r="E247" i="1"/>
  <c r="H247" i="1" s="1"/>
  <c r="F247" i="1"/>
  <c r="G247" i="1"/>
  <c r="I247" i="1"/>
  <c r="E248" i="1"/>
  <c r="H248" i="1" s="1"/>
  <c r="F248" i="1"/>
  <c r="G248" i="1"/>
  <c r="I248" i="1"/>
  <c r="E249" i="1"/>
  <c r="F249" i="1"/>
  <c r="G249" i="1"/>
  <c r="H249" i="1"/>
  <c r="I249" i="1"/>
  <c r="E250" i="1"/>
  <c r="F250" i="1"/>
  <c r="G250" i="1"/>
  <c r="H250" i="1"/>
  <c r="I250" i="1"/>
  <c r="E251" i="1"/>
  <c r="H251" i="1" s="1"/>
  <c r="F251" i="1"/>
  <c r="G251" i="1"/>
  <c r="I251" i="1"/>
  <c r="E252" i="1"/>
  <c r="H252" i="1" s="1"/>
  <c r="F252" i="1"/>
  <c r="G252" i="1"/>
  <c r="I252" i="1"/>
  <c r="E253" i="1"/>
  <c r="F253" i="1"/>
  <c r="G253" i="1"/>
  <c r="H253" i="1"/>
  <c r="I253" i="1"/>
  <c r="E254" i="1"/>
  <c r="F254" i="1"/>
  <c r="G254" i="1"/>
  <c r="H254" i="1"/>
  <c r="I254" i="1"/>
  <c r="E255" i="1"/>
  <c r="H255" i="1" s="1"/>
  <c r="F255" i="1"/>
  <c r="G255" i="1"/>
  <c r="I255" i="1"/>
  <c r="E256" i="1"/>
  <c r="H256" i="1" s="1"/>
  <c r="F256" i="1"/>
  <c r="G256" i="1"/>
  <c r="I256" i="1"/>
  <c r="E257" i="1"/>
  <c r="F257" i="1"/>
  <c r="G257" i="1"/>
  <c r="H257" i="1"/>
  <c r="I257" i="1"/>
  <c r="E258" i="1"/>
  <c r="F258" i="1"/>
  <c r="G258" i="1"/>
  <c r="H258" i="1"/>
  <c r="I258" i="1"/>
  <c r="E259" i="1"/>
  <c r="F259" i="1"/>
  <c r="G259" i="1"/>
  <c r="H259" i="1"/>
  <c r="I259" i="1"/>
  <c r="E260" i="1"/>
  <c r="H260" i="1" s="1"/>
  <c r="F260" i="1"/>
  <c r="G260" i="1"/>
  <c r="I260" i="1"/>
  <c r="E261" i="1"/>
  <c r="F261" i="1"/>
  <c r="G261" i="1"/>
  <c r="H261" i="1"/>
  <c r="I261" i="1"/>
  <c r="E262" i="1"/>
  <c r="F262" i="1"/>
  <c r="G262" i="1"/>
  <c r="H262" i="1"/>
  <c r="I262" i="1"/>
  <c r="E263" i="1"/>
  <c r="F263" i="1"/>
  <c r="G263" i="1"/>
  <c r="H263" i="1"/>
  <c r="I263" i="1"/>
  <c r="E264" i="1"/>
  <c r="H264" i="1" s="1"/>
  <c r="F264" i="1"/>
  <c r="G264" i="1"/>
  <c r="I264" i="1"/>
  <c r="E265" i="1"/>
  <c r="F265" i="1"/>
  <c r="G265" i="1"/>
  <c r="H265" i="1"/>
  <c r="I265" i="1"/>
  <c r="E266" i="1"/>
  <c r="F266" i="1"/>
  <c r="G266" i="1"/>
  <c r="H266" i="1"/>
  <c r="I266" i="1"/>
  <c r="E267" i="1"/>
  <c r="F267" i="1"/>
  <c r="G267" i="1"/>
  <c r="H267" i="1"/>
  <c r="I267" i="1"/>
  <c r="E268" i="1"/>
  <c r="H268" i="1" s="1"/>
  <c r="F268" i="1"/>
  <c r="G268" i="1"/>
  <c r="I268" i="1"/>
  <c r="E269" i="1"/>
  <c r="F269" i="1"/>
  <c r="G269" i="1"/>
  <c r="H269" i="1"/>
  <c r="I269" i="1"/>
  <c r="E270" i="1"/>
  <c r="F270" i="1"/>
  <c r="G270" i="1"/>
  <c r="H270" i="1"/>
  <c r="I270" i="1"/>
  <c r="E271" i="1"/>
  <c r="F271" i="1"/>
  <c r="G271" i="1"/>
  <c r="H271" i="1"/>
  <c r="I271" i="1"/>
  <c r="E272" i="1"/>
  <c r="H272" i="1" s="1"/>
  <c r="F272" i="1"/>
  <c r="G272" i="1"/>
  <c r="I272" i="1"/>
  <c r="E273" i="1"/>
  <c r="F273" i="1"/>
  <c r="G273" i="1"/>
  <c r="H273" i="1"/>
  <c r="I273" i="1"/>
  <c r="E274" i="1"/>
  <c r="F274" i="1"/>
  <c r="G274" i="1"/>
  <c r="H274" i="1"/>
  <c r="I274" i="1"/>
  <c r="E275" i="1"/>
  <c r="F275" i="1"/>
  <c r="G275" i="1"/>
  <c r="H275" i="1"/>
  <c r="I275" i="1"/>
  <c r="E276" i="1"/>
  <c r="H276" i="1" s="1"/>
  <c r="F276" i="1"/>
  <c r="G276" i="1"/>
  <c r="I276" i="1"/>
  <c r="E277" i="1"/>
  <c r="F277" i="1"/>
  <c r="G277" i="1"/>
  <c r="H277" i="1"/>
  <c r="I277" i="1"/>
  <c r="E278" i="1"/>
  <c r="F278" i="1"/>
  <c r="G278" i="1"/>
  <c r="H278" i="1"/>
  <c r="I278" i="1"/>
  <c r="E279" i="1"/>
  <c r="F279" i="1"/>
  <c r="G279" i="1"/>
  <c r="H279" i="1"/>
  <c r="I279" i="1"/>
  <c r="E280" i="1"/>
  <c r="H280" i="1" s="1"/>
  <c r="F280" i="1"/>
  <c r="G280" i="1"/>
  <c r="I280" i="1"/>
  <c r="E281" i="1"/>
  <c r="F281" i="1"/>
  <c r="G281" i="1"/>
  <c r="H281" i="1"/>
  <c r="I281" i="1"/>
  <c r="E282" i="1"/>
  <c r="F282" i="1"/>
  <c r="G282" i="1"/>
  <c r="H282" i="1"/>
  <c r="I282" i="1"/>
  <c r="E283" i="1"/>
  <c r="F283" i="1"/>
  <c r="G283" i="1"/>
  <c r="H283" i="1"/>
  <c r="I283" i="1"/>
  <c r="E284" i="1"/>
  <c r="H284" i="1" s="1"/>
  <c r="F284" i="1"/>
  <c r="G284" i="1"/>
  <c r="I284" i="1"/>
  <c r="E285" i="1"/>
  <c r="H285" i="1" s="1"/>
  <c r="F285" i="1"/>
  <c r="G285" i="1"/>
  <c r="I285" i="1"/>
  <c r="E286" i="1"/>
  <c r="F286" i="1"/>
  <c r="G286" i="1"/>
  <c r="H286" i="1"/>
  <c r="I286" i="1"/>
  <c r="E287" i="1"/>
  <c r="F287" i="1"/>
  <c r="G287" i="1"/>
  <c r="H287" i="1"/>
  <c r="I287" i="1"/>
  <c r="E288" i="1"/>
  <c r="H288" i="1" s="1"/>
  <c r="F288" i="1"/>
  <c r="G288" i="1"/>
  <c r="I288" i="1"/>
  <c r="E289" i="1"/>
  <c r="H289" i="1" s="1"/>
  <c r="F289" i="1"/>
  <c r="G289" i="1"/>
  <c r="I289" i="1"/>
  <c r="E290" i="1"/>
  <c r="F290" i="1"/>
  <c r="G290" i="1"/>
  <c r="H290" i="1"/>
  <c r="I290" i="1"/>
  <c r="E291" i="1"/>
  <c r="F291" i="1"/>
  <c r="G291" i="1"/>
  <c r="H291" i="1"/>
  <c r="I291" i="1"/>
  <c r="E292" i="1"/>
  <c r="H292" i="1" s="1"/>
  <c r="F292" i="1"/>
  <c r="G292" i="1"/>
  <c r="I292" i="1"/>
  <c r="E293" i="1"/>
  <c r="H293" i="1" s="1"/>
  <c r="F293" i="1"/>
  <c r="G293" i="1"/>
  <c r="I293" i="1"/>
  <c r="E294" i="1"/>
  <c r="F294" i="1"/>
  <c r="G294" i="1"/>
  <c r="H294" i="1"/>
  <c r="I294" i="1"/>
  <c r="E295" i="1"/>
  <c r="F295" i="1"/>
  <c r="G295" i="1"/>
  <c r="H295" i="1"/>
  <c r="I295" i="1"/>
  <c r="E296" i="1"/>
  <c r="H296" i="1" s="1"/>
  <c r="F296" i="1"/>
  <c r="G296" i="1"/>
  <c r="I296" i="1"/>
  <c r="E297" i="1"/>
  <c r="F297" i="1"/>
  <c r="G297" i="1"/>
  <c r="H297" i="1"/>
  <c r="I297" i="1"/>
  <c r="E298" i="1"/>
  <c r="F298" i="1"/>
  <c r="G298" i="1"/>
  <c r="H298" i="1"/>
  <c r="I298" i="1"/>
  <c r="E299" i="1"/>
  <c r="F299" i="1"/>
  <c r="G299" i="1"/>
  <c r="H299" i="1"/>
  <c r="I299" i="1"/>
  <c r="E300" i="1"/>
  <c r="H300" i="1" s="1"/>
  <c r="F300" i="1"/>
  <c r="G300" i="1"/>
  <c r="I300" i="1"/>
  <c r="E301" i="1"/>
  <c r="F301" i="1"/>
  <c r="G301" i="1"/>
  <c r="H301" i="1"/>
  <c r="I301" i="1"/>
  <c r="E302" i="1"/>
  <c r="F302" i="1"/>
  <c r="G302" i="1"/>
  <c r="H302" i="1"/>
  <c r="I302" i="1"/>
  <c r="E303" i="1"/>
  <c r="F303" i="1"/>
  <c r="G303" i="1"/>
  <c r="H303" i="1"/>
  <c r="I303" i="1"/>
  <c r="E304" i="1"/>
  <c r="H304" i="1" s="1"/>
  <c r="F304" i="1"/>
  <c r="G304" i="1"/>
  <c r="I304" i="1"/>
  <c r="E305" i="1"/>
  <c r="F305" i="1"/>
  <c r="G305" i="1"/>
  <c r="H305" i="1"/>
  <c r="I305" i="1"/>
  <c r="E306" i="1"/>
  <c r="H306" i="1" s="1"/>
  <c r="F306" i="1"/>
  <c r="G306" i="1"/>
  <c r="I306" i="1"/>
  <c r="E307" i="1"/>
  <c r="F307" i="1"/>
  <c r="G307" i="1"/>
  <c r="H307" i="1"/>
  <c r="I307" i="1"/>
  <c r="E308" i="1"/>
  <c r="H308" i="1" s="1"/>
  <c r="F308" i="1"/>
  <c r="G308" i="1"/>
  <c r="I308" i="1"/>
  <c r="E309" i="1"/>
  <c r="F309" i="1"/>
  <c r="G309" i="1"/>
  <c r="H309" i="1"/>
  <c r="I309" i="1"/>
  <c r="E310" i="1"/>
  <c r="H310" i="1" s="1"/>
  <c r="F310" i="1"/>
  <c r="G310" i="1"/>
  <c r="I310" i="1"/>
  <c r="E311" i="1"/>
  <c r="F311" i="1"/>
  <c r="G311" i="1"/>
  <c r="H311" i="1"/>
  <c r="I311" i="1"/>
  <c r="E312" i="1"/>
  <c r="H312" i="1" s="1"/>
  <c r="F312" i="1"/>
  <c r="G312" i="1"/>
  <c r="I312" i="1"/>
  <c r="E313" i="1"/>
  <c r="F313" i="1"/>
  <c r="G313" i="1"/>
  <c r="H313" i="1"/>
  <c r="I313" i="1"/>
  <c r="E314" i="1"/>
  <c r="H314" i="1" s="1"/>
  <c r="F314" i="1"/>
  <c r="G314" i="1"/>
  <c r="I314" i="1"/>
  <c r="E315" i="1"/>
  <c r="F315" i="1"/>
  <c r="G315" i="1"/>
  <c r="H315" i="1"/>
  <c r="I315" i="1"/>
  <c r="E316" i="1"/>
  <c r="H316" i="1" s="1"/>
  <c r="F316" i="1"/>
  <c r="G316" i="1"/>
  <c r="I316" i="1"/>
  <c r="E317" i="1"/>
  <c r="F317" i="1"/>
  <c r="G317" i="1"/>
  <c r="H317" i="1"/>
  <c r="I317" i="1"/>
  <c r="E318" i="1"/>
  <c r="F318" i="1"/>
  <c r="G318" i="1"/>
  <c r="H318" i="1"/>
  <c r="I318" i="1"/>
  <c r="E319" i="1"/>
  <c r="F319" i="1"/>
  <c r="G319" i="1"/>
  <c r="H319" i="1"/>
  <c r="I319" i="1"/>
  <c r="E320" i="1"/>
  <c r="H320" i="1" s="1"/>
  <c r="F320" i="1"/>
  <c r="G320" i="1"/>
  <c r="I320" i="1"/>
  <c r="E321" i="1"/>
  <c r="F321" i="1"/>
  <c r="G321" i="1"/>
  <c r="H321" i="1"/>
  <c r="I321" i="1"/>
  <c r="E322" i="1"/>
  <c r="F322" i="1"/>
  <c r="G322" i="1"/>
  <c r="H322" i="1"/>
  <c r="I322" i="1"/>
  <c r="E323" i="1"/>
  <c r="F323" i="1"/>
  <c r="G323" i="1"/>
  <c r="H323" i="1"/>
  <c r="I323" i="1"/>
  <c r="E324" i="1"/>
  <c r="H324" i="1" s="1"/>
  <c r="F324" i="1"/>
  <c r="G324" i="1"/>
  <c r="I324" i="1"/>
  <c r="E325" i="1"/>
  <c r="F325" i="1"/>
  <c r="G325" i="1"/>
  <c r="H325" i="1"/>
  <c r="I325" i="1"/>
  <c r="E326" i="1"/>
  <c r="F326" i="1"/>
  <c r="G326" i="1"/>
  <c r="H326" i="1"/>
  <c r="I326" i="1"/>
  <c r="E327" i="1"/>
  <c r="H327" i="1" s="1"/>
  <c r="F327" i="1"/>
  <c r="G327" i="1"/>
  <c r="I327" i="1"/>
  <c r="E328" i="1"/>
  <c r="H328" i="1" s="1"/>
  <c r="F328" i="1"/>
  <c r="G328" i="1"/>
  <c r="I328" i="1"/>
  <c r="E329" i="1"/>
  <c r="F329" i="1"/>
  <c r="G329" i="1"/>
  <c r="H329" i="1"/>
  <c r="I329" i="1"/>
  <c r="E330" i="1"/>
  <c r="F330" i="1"/>
  <c r="G330" i="1"/>
  <c r="H330" i="1"/>
  <c r="I330" i="1"/>
  <c r="E331" i="1"/>
  <c r="H331" i="1" s="1"/>
  <c r="F331" i="1"/>
  <c r="G331" i="1"/>
  <c r="I331" i="1"/>
  <c r="E332" i="1"/>
  <c r="H332" i="1" s="1"/>
  <c r="F332" i="1"/>
  <c r="G332" i="1"/>
  <c r="I332" i="1"/>
  <c r="E333" i="1"/>
  <c r="F333" i="1"/>
  <c r="G333" i="1"/>
  <c r="H333" i="1"/>
  <c r="I333" i="1"/>
  <c r="E334" i="1"/>
  <c r="F334" i="1"/>
  <c r="G334" i="1"/>
  <c r="H334" i="1"/>
  <c r="I334" i="1"/>
  <c r="E335" i="1"/>
  <c r="H335" i="1" s="1"/>
  <c r="F335" i="1"/>
  <c r="G335" i="1"/>
  <c r="I335" i="1"/>
  <c r="E336" i="1"/>
  <c r="H336" i="1" s="1"/>
  <c r="F336" i="1"/>
  <c r="G336" i="1"/>
  <c r="I336" i="1"/>
  <c r="E337" i="1"/>
  <c r="F337" i="1"/>
  <c r="G337" i="1"/>
  <c r="H337" i="1"/>
  <c r="I337" i="1"/>
  <c r="E338" i="1"/>
  <c r="F338" i="1"/>
  <c r="G338" i="1"/>
  <c r="H338" i="1"/>
  <c r="I338" i="1"/>
  <c r="E339" i="1"/>
  <c r="F339" i="1"/>
  <c r="G339" i="1"/>
  <c r="H339" i="1"/>
  <c r="I339" i="1"/>
  <c r="E340" i="1"/>
  <c r="H340" i="1" s="1"/>
  <c r="F340" i="1"/>
  <c r="G340" i="1"/>
  <c r="I340" i="1"/>
  <c r="E341" i="1"/>
  <c r="F341" i="1"/>
  <c r="G341" i="1"/>
  <c r="H341" i="1"/>
  <c r="I341" i="1"/>
  <c r="E342" i="1"/>
  <c r="F342" i="1"/>
  <c r="G342" i="1"/>
  <c r="H342" i="1"/>
  <c r="I342" i="1"/>
  <c r="E343" i="1"/>
  <c r="F343" i="1"/>
  <c r="G343" i="1"/>
  <c r="H343" i="1"/>
  <c r="I343" i="1"/>
  <c r="E344" i="1"/>
  <c r="F344" i="1"/>
  <c r="G344" i="1"/>
  <c r="H344" i="1"/>
  <c r="I344" i="1"/>
  <c r="E345" i="1"/>
  <c r="F345" i="1"/>
  <c r="G345" i="1"/>
  <c r="H345" i="1"/>
  <c r="I345" i="1"/>
  <c r="E346" i="1"/>
  <c r="F346" i="1"/>
  <c r="G346" i="1"/>
  <c r="H346" i="1"/>
  <c r="I346" i="1"/>
  <c r="E347" i="1"/>
  <c r="F347" i="1"/>
  <c r="G347" i="1"/>
  <c r="H347" i="1"/>
  <c r="I347" i="1"/>
  <c r="E348" i="1"/>
  <c r="F348" i="1"/>
  <c r="G348" i="1"/>
  <c r="H348" i="1"/>
  <c r="I348" i="1"/>
  <c r="E349" i="1"/>
  <c r="F349" i="1"/>
  <c r="G349" i="1"/>
  <c r="H349" i="1"/>
  <c r="I349" i="1"/>
  <c r="E350" i="1"/>
  <c r="F350" i="1"/>
  <c r="G350" i="1"/>
  <c r="H350" i="1"/>
  <c r="I350" i="1"/>
  <c r="E351" i="1"/>
  <c r="F351" i="1"/>
  <c r="G351" i="1"/>
  <c r="H351" i="1"/>
  <c r="I351" i="1"/>
  <c r="E352" i="1"/>
  <c r="F352" i="1"/>
  <c r="G352" i="1"/>
  <c r="H352" i="1"/>
  <c r="I352" i="1"/>
  <c r="E353" i="1"/>
  <c r="F353" i="1"/>
  <c r="G353" i="1"/>
  <c r="H353" i="1"/>
  <c r="I353" i="1"/>
  <c r="E354" i="1"/>
  <c r="F354" i="1"/>
  <c r="G354" i="1"/>
  <c r="H354" i="1"/>
  <c r="I354" i="1"/>
  <c r="E355" i="1"/>
  <c r="F355" i="1"/>
  <c r="G355" i="1"/>
  <c r="H355" i="1"/>
  <c r="I355" i="1"/>
  <c r="E356" i="1"/>
  <c r="F356" i="1"/>
  <c r="G356" i="1"/>
  <c r="H356" i="1"/>
  <c r="I356" i="1"/>
  <c r="E357" i="1"/>
  <c r="F357" i="1"/>
  <c r="G357" i="1"/>
  <c r="H357" i="1"/>
  <c r="I357" i="1"/>
  <c r="E358" i="1"/>
  <c r="F358" i="1"/>
  <c r="G358" i="1"/>
  <c r="H358" i="1"/>
  <c r="I358" i="1"/>
  <c r="E359" i="1"/>
  <c r="F359" i="1"/>
  <c r="G359" i="1"/>
  <c r="H359" i="1"/>
  <c r="I359" i="1"/>
  <c r="E360" i="1"/>
  <c r="F360" i="1"/>
  <c r="G360" i="1"/>
  <c r="H360" i="1"/>
  <c r="I360" i="1"/>
  <c r="E361" i="1"/>
  <c r="F361" i="1"/>
  <c r="G361" i="1"/>
  <c r="H361" i="1"/>
  <c r="I361" i="1"/>
  <c r="E362" i="1"/>
  <c r="F362" i="1"/>
  <c r="G362" i="1"/>
  <c r="H362" i="1"/>
  <c r="I362" i="1"/>
  <c r="E363" i="1"/>
  <c r="F363" i="1"/>
  <c r="G363" i="1"/>
  <c r="H363" i="1"/>
  <c r="I363" i="1"/>
  <c r="E364" i="1"/>
  <c r="F364" i="1"/>
  <c r="G364" i="1"/>
  <c r="H364" i="1"/>
  <c r="I364" i="1"/>
  <c r="E365" i="1"/>
  <c r="F365" i="1"/>
  <c r="G365" i="1"/>
  <c r="H365" i="1"/>
  <c r="I365" i="1"/>
  <c r="E366" i="1"/>
  <c r="F366" i="1"/>
  <c r="G366" i="1"/>
  <c r="H366" i="1"/>
  <c r="I366" i="1"/>
  <c r="E367" i="1"/>
  <c r="F367" i="1"/>
  <c r="G367" i="1"/>
  <c r="H367" i="1"/>
  <c r="I367" i="1"/>
  <c r="E368" i="1"/>
  <c r="F368" i="1"/>
  <c r="G368" i="1"/>
  <c r="H368" i="1"/>
  <c r="I368" i="1"/>
  <c r="E369" i="1"/>
  <c r="F369" i="1"/>
  <c r="G369" i="1"/>
  <c r="H369" i="1"/>
  <c r="I369" i="1"/>
  <c r="E370" i="1"/>
  <c r="F370" i="1"/>
  <c r="G370" i="1"/>
  <c r="H370" i="1"/>
  <c r="I370" i="1"/>
  <c r="E371" i="1"/>
  <c r="F371" i="1"/>
  <c r="G371" i="1"/>
  <c r="H371" i="1"/>
  <c r="I371" i="1"/>
  <c r="E372" i="1"/>
  <c r="F372" i="1"/>
  <c r="G372" i="1"/>
  <c r="H372" i="1"/>
  <c r="I372" i="1"/>
  <c r="E373" i="1"/>
  <c r="F373" i="1"/>
  <c r="G373" i="1"/>
  <c r="H373" i="1"/>
  <c r="I373" i="1"/>
  <c r="E374" i="1"/>
  <c r="F374" i="1"/>
  <c r="G374" i="1"/>
  <c r="H374" i="1"/>
  <c r="I374" i="1"/>
  <c r="E375" i="1"/>
  <c r="F375" i="1"/>
  <c r="G375" i="1"/>
  <c r="H375" i="1"/>
  <c r="I375" i="1"/>
  <c r="E376" i="1"/>
  <c r="F376" i="1"/>
  <c r="G376" i="1"/>
  <c r="H376" i="1"/>
  <c r="I376" i="1"/>
  <c r="E377" i="1"/>
  <c r="F377" i="1"/>
  <c r="G377" i="1"/>
  <c r="H377" i="1"/>
  <c r="I377" i="1"/>
  <c r="E378" i="1"/>
  <c r="F378" i="1"/>
  <c r="G378" i="1"/>
  <c r="H378" i="1"/>
  <c r="I378" i="1"/>
  <c r="E379" i="1"/>
  <c r="F379" i="1"/>
  <c r="G379" i="1"/>
  <c r="H379" i="1"/>
  <c r="I379" i="1"/>
  <c r="E380" i="1"/>
  <c r="F380" i="1"/>
  <c r="G380" i="1"/>
  <c r="H380" i="1"/>
  <c r="I380" i="1"/>
  <c r="E381" i="1"/>
  <c r="F381" i="1"/>
  <c r="G381" i="1"/>
  <c r="H381" i="1"/>
  <c r="I381" i="1"/>
  <c r="E382" i="1"/>
  <c r="F382" i="1"/>
  <c r="G382" i="1"/>
  <c r="H382" i="1"/>
  <c r="I382" i="1"/>
  <c r="E383" i="1"/>
  <c r="F383" i="1"/>
  <c r="G383" i="1"/>
  <c r="H383" i="1"/>
  <c r="I383" i="1"/>
  <c r="E384" i="1"/>
  <c r="F384" i="1"/>
  <c r="G384" i="1"/>
  <c r="H384" i="1"/>
  <c r="I384" i="1"/>
  <c r="E385" i="1"/>
  <c r="F385" i="1"/>
  <c r="G385" i="1"/>
  <c r="H385" i="1"/>
  <c r="I385" i="1"/>
  <c r="E386" i="1"/>
  <c r="F386" i="1"/>
  <c r="G386" i="1"/>
  <c r="H386" i="1"/>
  <c r="I386" i="1"/>
  <c r="E387" i="1"/>
  <c r="F387" i="1"/>
  <c r="G387" i="1"/>
  <c r="H387" i="1"/>
  <c r="I387" i="1"/>
  <c r="E388" i="1"/>
  <c r="F388" i="1"/>
  <c r="G388" i="1"/>
  <c r="H388" i="1"/>
  <c r="I388" i="1"/>
  <c r="E389" i="1"/>
  <c r="F389" i="1"/>
  <c r="G389" i="1"/>
  <c r="H389" i="1"/>
  <c r="I389" i="1"/>
  <c r="E390" i="1"/>
  <c r="F390" i="1"/>
  <c r="G390" i="1"/>
  <c r="H390" i="1"/>
  <c r="I390" i="1"/>
  <c r="E391" i="1"/>
  <c r="F391" i="1"/>
  <c r="G391" i="1"/>
  <c r="H391" i="1"/>
  <c r="I391" i="1"/>
  <c r="E392" i="1"/>
  <c r="F392" i="1"/>
  <c r="G392" i="1"/>
  <c r="H392" i="1"/>
  <c r="I392" i="1"/>
  <c r="E393" i="1"/>
  <c r="F393" i="1"/>
  <c r="G393" i="1"/>
  <c r="H393" i="1"/>
  <c r="I393" i="1"/>
  <c r="E394" i="1"/>
  <c r="F394" i="1"/>
  <c r="G394" i="1"/>
  <c r="H394" i="1"/>
  <c r="I394" i="1"/>
  <c r="E395" i="1"/>
  <c r="F395" i="1"/>
  <c r="G395" i="1"/>
  <c r="H395" i="1"/>
  <c r="I395" i="1"/>
  <c r="E396" i="1"/>
  <c r="F396" i="1"/>
  <c r="G396" i="1"/>
  <c r="H396" i="1"/>
  <c r="I396" i="1"/>
  <c r="E397" i="1"/>
  <c r="F397" i="1"/>
  <c r="G397" i="1"/>
  <c r="H397" i="1"/>
  <c r="I397" i="1"/>
  <c r="E398" i="1"/>
  <c r="F398" i="1"/>
  <c r="G398" i="1"/>
  <c r="H398" i="1"/>
  <c r="I398" i="1"/>
  <c r="E399" i="1"/>
  <c r="F399" i="1"/>
  <c r="G399" i="1"/>
  <c r="H399" i="1"/>
  <c r="I399" i="1"/>
  <c r="E400" i="1"/>
  <c r="F400" i="1"/>
  <c r="G400" i="1"/>
  <c r="H400" i="1"/>
  <c r="I400" i="1"/>
  <c r="E401" i="1"/>
  <c r="F401" i="1"/>
  <c r="G401" i="1"/>
  <c r="H401" i="1"/>
  <c r="I401" i="1"/>
  <c r="E402" i="1"/>
  <c r="F402" i="1"/>
  <c r="G402" i="1"/>
  <c r="H402" i="1"/>
  <c r="I402" i="1"/>
  <c r="E403" i="1"/>
  <c r="F403" i="1"/>
  <c r="G403" i="1"/>
  <c r="H403" i="1"/>
  <c r="I403" i="1"/>
  <c r="E404" i="1"/>
  <c r="F404" i="1"/>
  <c r="G404" i="1"/>
  <c r="H404" i="1"/>
  <c r="I404" i="1"/>
  <c r="E405" i="1"/>
  <c r="F405" i="1"/>
  <c r="G405" i="1"/>
  <c r="H405" i="1"/>
  <c r="I405" i="1"/>
  <c r="E406" i="1"/>
  <c r="F406" i="1"/>
  <c r="G406" i="1"/>
  <c r="H406" i="1"/>
  <c r="I406" i="1"/>
  <c r="E407" i="1"/>
  <c r="F407" i="1"/>
  <c r="G407" i="1"/>
  <c r="H407" i="1"/>
  <c r="I407" i="1"/>
  <c r="E408" i="1"/>
  <c r="F408" i="1"/>
  <c r="G408" i="1"/>
  <c r="H408" i="1"/>
  <c r="I408" i="1"/>
  <c r="E409" i="1"/>
  <c r="F409" i="1"/>
  <c r="G409" i="1"/>
  <c r="H409" i="1"/>
  <c r="I409" i="1"/>
  <c r="E410" i="1"/>
  <c r="F410" i="1"/>
  <c r="G410" i="1"/>
  <c r="H410" i="1"/>
  <c r="I410" i="1"/>
  <c r="E411" i="1"/>
  <c r="F411" i="1"/>
  <c r="G411" i="1"/>
  <c r="H411" i="1"/>
  <c r="I411" i="1"/>
  <c r="E412" i="1"/>
  <c r="F412" i="1"/>
  <c r="G412" i="1"/>
  <c r="H412" i="1"/>
  <c r="I412" i="1"/>
  <c r="E413" i="1"/>
  <c r="F413" i="1"/>
  <c r="G413" i="1"/>
  <c r="H413" i="1"/>
  <c r="I413" i="1"/>
  <c r="E414" i="1"/>
  <c r="F414" i="1"/>
  <c r="G414" i="1"/>
  <c r="H414" i="1"/>
  <c r="I414" i="1"/>
  <c r="E415" i="1"/>
  <c r="F415" i="1"/>
  <c r="G415" i="1"/>
  <c r="H415" i="1"/>
  <c r="I415" i="1"/>
  <c r="E416" i="1"/>
  <c r="F416" i="1"/>
  <c r="G416" i="1"/>
  <c r="H416" i="1"/>
  <c r="I416" i="1"/>
  <c r="E417" i="1"/>
  <c r="F417" i="1"/>
  <c r="G417" i="1"/>
  <c r="H417" i="1"/>
  <c r="I417" i="1"/>
  <c r="E418" i="1"/>
  <c r="F418" i="1"/>
  <c r="G418" i="1"/>
  <c r="H418" i="1"/>
  <c r="I418" i="1"/>
  <c r="E419" i="1"/>
  <c r="F419" i="1"/>
  <c r="G419" i="1"/>
  <c r="H419" i="1"/>
  <c r="I419" i="1"/>
  <c r="E420" i="1"/>
  <c r="F420" i="1"/>
  <c r="G420" i="1"/>
  <c r="H420" i="1"/>
  <c r="I420" i="1"/>
  <c r="E421" i="1"/>
  <c r="F421" i="1"/>
  <c r="G421" i="1"/>
  <c r="H421" i="1"/>
  <c r="I421" i="1"/>
  <c r="E422" i="1"/>
  <c r="F422" i="1"/>
  <c r="G422" i="1"/>
  <c r="H422" i="1"/>
  <c r="I422" i="1"/>
  <c r="E423" i="1"/>
  <c r="F423" i="1"/>
  <c r="G423" i="1"/>
  <c r="H423" i="1"/>
  <c r="I423" i="1"/>
  <c r="E424" i="1"/>
  <c r="F424" i="1"/>
  <c r="G424" i="1"/>
  <c r="H424" i="1"/>
  <c r="I424" i="1"/>
  <c r="E425" i="1"/>
  <c r="F425" i="1"/>
  <c r="G425" i="1"/>
  <c r="H425" i="1"/>
  <c r="I425" i="1"/>
  <c r="E426" i="1"/>
  <c r="F426" i="1"/>
  <c r="G426" i="1"/>
  <c r="H426" i="1"/>
  <c r="I426" i="1"/>
  <c r="E427" i="1"/>
  <c r="F427" i="1"/>
  <c r="G427" i="1"/>
  <c r="H427" i="1"/>
  <c r="I427" i="1"/>
  <c r="E428" i="1"/>
  <c r="F428" i="1"/>
  <c r="G428" i="1"/>
  <c r="H428" i="1"/>
  <c r="I428" i="1"/>
  <c r="E429" i="1"/>
  <c r="F429" i="1"/>
  <c r="G429" i="1"/>
  <c r="H429" i="1"/>
  <c r="I429" i="1"/>
  <c r="E430" i="1"/>
  <c r="F430" i="1"/>
  <c r="G430" i="1"/>
  <c r="H430" i="1"/>
  <c r="I430" i="1"/>
  <c r="E431" i="1"/>
  <c r="F431" i="1"/>
  <c r="G431" i="1"/>
  <c r="H431" i="1"/>
  <c r="I431" i="1"/>
  <c r="E432" i="1"/>
  <c r="F432" i="1"/>
  <c r="G432" i="1"/>
  <c r="H432" i="1"/>
  <c r="I432" i="1"/>
  <c r="E433" i="1"/>
  <c r="F433" i="1"/>
  <c r="G433" i="1"/>
  <c r="H433" i="1"/>
  <c r="I433" i="1"/>
  <c r="E434" i="1"/>
  <c r="F434" i="1"/>
  <c r="G434" i="1"/>
  <c r="H434" i="1"/>
  <c r="I434" i="1"/>
  <c r="E435" i="1"/>
  <c r="F435" i="1"/>
  <c r="G435" i="1"/>
  <c r="H435" i="1"/>
  <c r="I435" i="1"/>
  <c r="E436" i="1"/>
  <c r="F436" i="1"/>
  <c r="G436" i="1"/>
  <c r="H436" i="1"/>
  <c r="I436" i="1"/>
  <c r="E437" i="1"/>
  <c r="F437" i="1"/>
  <c r="G437" i="1"/>
  <c r="H437" i="1"/>
  <c r="I437" i="1"/>
  <c r="E438" i="1"/>
  <c r="F438" i="1"/>
  <c r="G438" i="1"/>
  <c r="H438" i="1"/>
  <c r="I438" i="1"/>
  <c r="E439" i="1"/>
  <c r="F439" i="1"/>
  <c r="G439" i="1"/>
  <c r="H439" i="1"/>
  <c r="I439" i="1"/>
  <c r="E440" i="1"/>
  <c r="F440" i="1"/>
  <c r="G440" i="1"/>
  <c r="H440" i="1"/>
  <c r="I440" i="1"/>
  <c r="E441" i="1"/>
  <c r="F441" i="1"/>
  <c r="G441" i="1"/>
  <c r="H441" i="1"/>
  <c r="I441" i="1"/>
  <c r="E442" i="1"/>
  <c r="F442" i="1"/>
  <c r="G442" i="1"/>
  <c r="H442" i="1"/>
  <c r="I442" i="1"/>
  <c r="E443" i="1"/>
  <c r="F443" i="1"/>
  <c r="G443" i="1"/>
  <c r="H443" i="1"/>
  <c r="I443" i="1"/>
  <c r="E444" i="1"/>
  <c r="F444" i="1"/>
  <c r="G444" i="1"/>
  <c r="H444" i="1"/>
  <c r="I444" i="1"/>
  <c r="E445" i="1"/>
  <c r="F445" i="1"/>
  <c r="G445" i="1"/>
  <c r="H445" i="1"/>
  <c r="I445" i="1"/>
  <c r="E446" i="1"/>
  <c r="F446" i="1"/>
  <c r="G446" i="1"/>
  <c r="H446" i="1"/>
  <c r="I446" i="1"/>
  <c r="E447" i="1"/>
  <c r="F447" i="1"/>
  <c r="G447" i="1"/>
  <c r="H447" i="1"/>
  <c r="I447" i="1"/>
  <c r="E448" i="1"/>
  <c r="F448" i="1"/>
  <c r="G448" i="1"/>
  <c r="H448" i="1"/>
  <c r="I448" i="1"/>
  <c r="E449" i="1"/>
  <c r="F449" i="1"/>
  <c r="G449" i="1"/>
  <c r="H449" i="1"/>
  <c r="I449" i="1"/>
  <c r="E450" i="1"/>
  <c r="F450" i="1"/>
  <c r="G450" i="1"/>
  <c r="H450" i="1"/>
  <c r="I450" i="1"/>
  <c r="E451" i="1"/>
  <c r="F451" i="1"/>
  <c r="G451" i="1"/>
  <c r="H451" i="1"/>
  <c r="I451" i="1"/>
  <c r="E452" i="1"/>
  <c r="F452" i="1"/>
  <c r="G452" i="1"/>
  <c r="H452" i="1"/>
  <c r="I452" i="1"/>
  <c r="E453" i="1"/>
  <c r="F453" i="1"/>
  <c r="G453" i="1"/>
  <c r="H453" i="1"/>
  <c r="I453" i="1"/>
  <c r="E454" i="1"/>
  <c r="F454" i="1"/>
  <c r="G454" i="1"/>
  <c r="H454" i="1"/>
  <c r="I454" i="1"/>
  <c r="E455" i="1"/>
  <c r="F455" i="1"/>
  <c r="G455" i="1"/>
  <c r="H455" i="1"/>
  <c r="I455" i="1"/>
  <c r="E456" i="1"/>
  <c r="F456" i="1"/>
  <c r="G456" i="1"/>
  <c r="H456" i="1"/>
  <c r="I456" i="1"/>
  <c r="E457" i="1"/>
  <c r="F457" i="1"/>
  <c r="G457" i="1"/>
  <c r="H457" i="1"/>
  <c r="I457" i="1"/>
  <c r="E458" i="1"/>
  <c r="F458" i="1"/>
  <c r="G458" i="1"/>
  <c r="H458" i="1"/>
  <c r="I458" i="1"/>
  <c r="E459" i="1"/>
  <c r="F459" i="1"/>
  <c r="G459" i="1"/>
  <c r="H459" i="1"/>
  <c r="I459" i="1"/>
  <c r="E460" i="1"/>
  <c r="F460" i="1"/>
  <c r="G460" i="1"/>
  <c r="H460" i="1"/>
  <c r="I460" i="1"/>
  <c r="E461" i="1"/>
  <c r="F461" i="1"/>
  <c r="G461" i="1"/>
  <c r="H461" i="1"/>
  <c r="I461" i="1"/>
  <c r="E462" i="1"/>
  <c r="F462" i="1"/>
  <c r="G462" i="1"/>
  <c r="H462" i="1"/>
  <c r="I462" i="1"/>
  <c r="E463" i="1"/>
  <c r="F463" i="1"/>
  <c r="G463" i="1"/>
  <c r="H463" i="1"/>
  <c r="I463" i="1"/>
  <c r="E464" i="1"/>
  <c r="F464" i="1"/>
  <c r="G464" i="1"/>
  <c r="H464" i="1"/>
  <c r="I464" i="1"/>
  <c r="E465" i="1"/>
  <c r="F465" i="1"/>
  <c r="G465" i="1"/>
  <c r="H465" i="1"/>
  <c r="I465" i="1"/>
  <c r="E466" i="1"/>
  <c r="F466" i="1"/>
  <c r="G466" i="1"/>
  <c r="H466" i="1"/>
  <c r="I466" i="1"/>
  <c r="E467" i="1"/>
  <c r="F467" i="1"/>
  <c r="G467" i="1"/>
  <c r="H467" i="1"/>
  <c r="I467" i="1"/>
  <c r="E468" i="1"/>
  <c r="F468" i="1"/>
  <c r="G468" i="1"/>
  <c r="H468" i="1"/>
  <c r="I468" i="1"/>
  <c r="E469" i="1"/>
  <c r="F469" i="1"/>
  <c r="G469" i="1"/>
  <c r="H469" i="1"/>
  <c r="I469" i="1"/>
  <c r="E470" i="1"/>
  <c r="F470" i="1"/>
  <c r="G470" i="1"/>
  <c r="H470" i="1"/>
  <c r="I470" i="1"/>
  <c r="E471" i="1"/>
  <c r="F471" i="1"/>
  <c r="G471" i="1"/>
  <c r="H471" i="1"/>
  <c r="I471" i="1"/>
  <c r="E472" i="1"/>
  <c r="F472" i="1"/>
  <c r="G472" i="1"/>
  <c r="H472" i="1"/>
  <c r="I472" i="1"/>
  <c r="E473" i="1"/>
  <c r="F473" i="1"/>
  <c r="G473" i="1"/>
  <c r="H473" i="1"/>
  <c r="I473" i="1"/>
  <c r="E474" i="1"/>
  <c r="F474" i="1"/>
  <c r="G474" i="1"/>
  <c r="H474" i="1"/>
  <c r="I474" i="1"/>
  <c r="E475" i="1"/>
  <c r="F475" i="1"/>
  <c r="G475" i="1"/>
  <c r="H475" i="1"/>
  <c r="I475" i="1"/>
  <c r="E476" i="1"/>
  <c r="F476" i="1"/>
  <c r="G476" i="1"/>
  <c r="H476" i="1"/>
  <c r="I476" i="1"/>
  <c r="E477" i="1"/>
  <c r="F477" i="1"/>
  <c r="G477" i="1"/>
  <c r="H477" i="1"/>
  <c r="I477" i="1"/>
  <c r="E478" i="1"/>
  <c r="F478" i="1"/>
  <c r="G478" i="1"/>
  <c r="H478" i="1"/>
  <c r="I478" i="1"/>
  <c r="E479" i="1"/>
  <c r="F479" i="1"/>
  <c r="G479" i="1"/>
  <c r="H479" i="1"/>
  <c r="I479" i="1"/>
  <c r="E480" i="1"/>
  <c r="F480" i="1"/>
  <c r="G480" i="1"/>
  <c r="H480" i="1"/>
  <c r="I480" i="1"/>
  <c r="E481" i="1"/>
  <c r="F481" i="1"/>
  <c r="G481" i="1"/>
  <c r="H481" i="1"/>
  <c r="I481" i="1"/>
  <c r="E482" i="1"/>
  <c r="F482" i="1"/>
  <c r="G482" i="1"/>
  <c r="H482" i="1"/>
  <c r="I482" i="1"/>
  <c r="E483" i="1"/>
  <c r="F483" i="1"/>
  <c r="G483" i="1"/>
  <c r="H483" i="1"/>
  <c r="I483" i="1"/>
  <c r="E484" i="1"/>
  <c r="F484" i="1"/>
  <c r="G484" i="1"/>
  <c r="H484" i="1"/>
  <c r="I484" i="1"/>
  <c r="E485" i="1"/>
  <c r="F485" i="1"/>
  <c r="G485" i="1"/>
  <c r="H485" i="1"/>
  <c r="I485" i="1"/>
  <c r="E486" i="1"/>
  <c r="F486" i="1"/>
  <c r="G486" i="1"/>
  <c r="H486" i="1"/>
  <c r="I486" i="1"/>
  <c r="E487" i="1"/>
  <c r="F487" i="1"/>
  <c r="G487" i="1"/>
  <c r="H487" i="1"/>
  <c r="I487" i="1"/>
  <c r="E488" i="1"/>
  <c r="F488" i="1"/>
  <c r="G488" i="1"/>
  <c r="H488" i="1"/>
  <c r="I488" i="1"/>
  <c r="E489" i="1"/>
  <c r="F489" i="1"/>
  <c r="G489" i="1"/>
  <c r="H489" i="1"/>
  <c r="I489" i="1"/>
  <c r="E490" i="1"/>
  <c r="F490" i="1"/>
  <c r="G490" i="1"/>
  <c r="H490" i="1"/>
  <c r="I490" i="1"/>
  <c r="E491" i="1"/>
  <c r="F491" i="1"/>
  <c r="G491" i="1"/>
  <c r="H491" i="1"/>
  <c r="I491" i="1"/>
  <c r="E492" i="1"/>
  <c r="F492" i="1"/>
  <c r="G492" i="1"/>
  <c r="H492" i="1"/>
  <c r="I492" i="1"/>
  <c r="E493" i="1"/>
  <c r="F493" i="1"/>
  <c r="G493" i="1"/>
  <c r="H493" i="1"/>
  <c r="I493" i="1"/>
  <c r="E494" i="1"/>
  <c r="F494" i="1"/>
  <c r="G494" i="1"/>
  <c r="H494" i="1"/>
  <c r="I494" i="1"/>
  <c r="E495" i="1"/>
  <c r="F495" i="1"/>
  <c r="G495" i="1"/>
  <c r="H495" i="1"/>
  <c r="I495" i="1"/>
  <c r="E496" i="1"/>
  <c r="F496" i="1"/>
  <c r="G496" i="1"/>
  <c r="H496" i="1"/>
  <c r="I496" i="1"/>
  <c r="E497" i="1"/>
  <c r="F497" i="1"/>
  <c r="G497" i="1"/>
  <c r="H497" i="1"/>
  <c r="I497" i="1"/>
  <c r="E498" i="1"/>
  <c r="F498" i="1"/>
  <c r="G498" i="1"/>
  <c r="H498" i="1"/>
  <c r="I498" i="1"/>
  <c r="E499" i="1"/>
  <c r="F499" i="1"/>
  <c r="G499" i="1"/>
  <c r="H499" i="1"/>
  <c r="I499" i="1"/>
  <c r="E500" i="1"/>
  <c r="F500" i="1"/>
  <c r="G500" i="1"/>
  <c r="H500" i="1"/>
  <c r="I500" i="1"/>
  <c r="E501" i="1"/>
  <c r="F501" i="1"/>
  <c r="G501" i="1"/>
  <c r="H501" i="1"/>
  <c r="I501" i="1"/>
  <c r="E502" i="1"/>
  <c r="F502" i="1"/>
  <c r="G502" i="1"/>
  <c r="H502" i="1"/>
  <c r="I502" i="1"/>
  <c r="E503" i="1"/>
  <c r="F503" i="1"/>
  <c r="G503" i="1"/>
  <c r="H503" i="1"/>
  <c r="I503" i="1"/>
  <c r="E504" i="1"/>
  <c r="F504" i="1"/>
  <c r="G504" i="1"/>
  <c r="H504" i="1"/>
  <c r="I504" i="1"/>
  <c r="E505" i="1"/>
  <c r="F505" i="1"/>
  <c r="G505" i="1"/>
  <c r="H505" i="1"/>
  <c r="I505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<sst xmlns="http://schemas.openxmlformats.org/spreadsheetml/2006/main" count="1051" uniqueCount="34">
  <si>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</si>
  <si>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</si>
  <si>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</si>
  <si>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</si>
  <si>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</si>
  <si>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</si>
  <si>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</si>
  <si>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</si>
  <si>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</si>
  <si>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</si>
  <si>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</si>
  <si>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</si>
  <si>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</si>
  <si>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</si>
  <si>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</si>
  <si>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</si>
  <si>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</si>
  <si>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</si>
  <si>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</si>
  <si>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</si>
  <si>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</si>
  <si>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</si>
  <si>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</si>
  <si>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</si>
  <si>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</si>
  <si>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</si>
  <si>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</si>
  <si>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Выручка</t>
  </si>
  <si>
    <t>Доля</t>
  </si>
  <si>
    <t>ТОП</t>
  </si>
  <si>
    <t>ТОП-3 по ТО на склад (посл. неделя)</t>
  </si>
  <si>
    <t>ТО на склад (посл. нед)</t>
  </si>
  <si>
    <t>Территория по доле</t>
  </si>
  <si>
    <t>Общий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</si>
</sst>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10" fontId="0" fillId="0" borderId="0" xfId="0" applyNumberFormat="1" applyFont="1" applyAlignment="1"/>
    <xf numFmtId="0" fontId="3" fillId="0" borderId="0" xfId="0" applyFont="1" applyFill="1" applyBorder="1" applyAlignment="1"/>
    <xf numFmtId="0" fontId="3" fillId="3" borderId="0" xfId="0" applyFont="1" applyFill="1" applyBorder="1" applyAlignment="1"/>
    <xf numFmtId="0" fontId="5" fillId="0" borderId="0" xfId="0" applyFont="1" applyAlignment="1"/>
    <xf numFmtId="0" fontId="1" fillId="0" borderId="0" xfId="0" applyFont="1" applyAlignment="1"/>
    <xf numFmtId="0" fontId="0" fillId="0" borderId="8" xfId="0" applyFont="1" applyBorder="1" applyAlignment="1"/>
    <xf numFmtId="0" fontId="1" fillId="0" borderId="8" xfId="0" applyFont="1" applyBorder="1" applyAlignment="1"/>
    <xf numFmtId="0" fontId="5" fillId="4" borderId="8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/>
              <a:t>Динамика товарооборота и ТО на склад по неделям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Анализ!$N$1</c:f>
              <c:strCache>
                <c:ptCount val="1"/>
                <c:pt idx="0">
                  <c:v>Общий товарооборот, 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Анализ!$M$2:$M$7</c:f>
              <c:numCache>
                <c:formatCode>General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numCache>
            </c:numRef>
          </c:cat>
          <c:val>
            <c:numRef>
              <c:f>Анализ!$N$2:$N$7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7-4CAB-A4F9-96BE133FD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030176"/>
        <c:axId val="323044736"/>
      </c:barChart>
      <c:lineChart>
        <c:grouping val="standard"/>
        <c:varyColors val="0"/>
        <c:ser>
          <c:idx val="2"/>
          <c:order val="1"/>
          <c:tx>
            <c:strRef>
              <c:f>Анализ!$O$1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Анализ!$O$2:$O$7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7-4CAB-A4F9-96BE133FD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150304"/>
        <c:axId val="570139488"/>
      </c:lineChart>
      <c:catAx>
        <c:axId val="32303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044736"/>
        <c:crosses val="autoZero"/>
        <c:auto val="1"/>
        <c:lblAlgn val="ctr"/>
        <c:lblOffset val="100"/>
        <c:noMultiLvlLbl val="0"/>
      </c:catAx>
      <c:valAx>
        <c:axId val="323044736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Товарооборот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030176"/>
        <c:crosses val="autoZero"/>
        <c:crossBetween val="between"/>
      </c:valAx>
      <c:valAx>
        <c:axId val="570139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70150304"/>
        <c:crosses val="max"/>
        <c:crossBetween val="between"/>
      </c:valAx>
      <c:catAx>
        <c:axId val="57015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570139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308722</xdr:colOff>
      <xdr:row>6</xdr:row>
      <xdr:rowOff>34925</xdr:rowOff>
    </xdr:from>
    <xdr:to>
      <xdr:col>10</xdr:col>
      <xdr:colOff>2285999</xdr:colOff>
      <xdr:row>23</xdr:row>
      <xdr:rowOff>119529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054FEB-B172-42B5-8630-DDEF64198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Normal="100" workbookViewId="0">
      <selection activeCell="B1" sqref="B1:B1048576"/>
    </sheetView>
  </sheetViews>
  <sheetFormatPr defaultColWidth="14.453125" defaultRowHeight="15" customHeight="1" x14ac:dyDescent="0.35"/>
  <cols>
    <col min="1" max="1" width="10.453125" customWidth="1"/>
    <col min="2" max="2" width="21.7265625" customWidth="1"/>
    <col min="3" max="3" width="22" customWidth="1"/>
    <col min="4" max="4" width="20.26953125" customWidth="1"/>
    <col min="5" max="7" width="22" customWidth="1"/>
    <col min="8" max="8" width="23.453125" customWidth="1"/>
    <col min="9" max="24" width="8.7265625" customWidth="1"/>
  </cols>
  <sheetData>
    <row r="1" spans="1:24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 Лист2!$A:$A, $A2, Лист2!$B:$B, $B2)</f>
        <v>15</v>
      </c>
      <c r="F2" s="7">
        <f>SUMIFS(Лист2!$D:$D, Лист2!$A:$A, $A2, Лист2!$B:$B, $B2)</f>
        <v>441</v>
      </c>
      <c r="G2" s="7">
        <f>SUMIFS(Лист2!$E:$E, Лист2!$A:$A, $A2, Лист2!$B:$B, $B2)</f>
        <v>368</v>
      </c>
      <c r="H2">
        <f>IFERROR(D2/E2, 0)</f>
        <v>41598.1</v>
      </c>
      <c r="I2">
        <f>WEEKNUM(A2, 2)</f>
        <v>22</v>
      </c>
    </row>
    <row r="3" spans="1:24" ht="14.25" customHeight="1" x14ac:dyDescent="0.35">
      <c r="A3" s="8">
        <v>43981</v>
      </c>
      <c r="B3" s="9" t="s">
        <v>9</v>
      </c>
      <c r="C3" s="9">
        <v>10029</v>
      </c>
      <c r="D3" s="9">
        <v>787101</v>
      </c>
      <c r="E3" s="7">
        <f>SUMIFS(Лист2!$C:$C, Лист2!$A:$A, $A3, Лист2!$B:$B, $B3)</f>
        <v>15</v>
      </c>
      <c r="F3" s="7">
        <f>SUMIFS(Лист2!$D:$D, Лист2!$A:$A, $A3, Лист2!$B:$B, $B3)</f>
        <v>490</v>
      </c>
      <c r="G3" s="7">
        <f>SUMIFS(Лист2!$E:$E, Лист2!$A:$A, $A3, Лист2!$B:$B, $B3)</f>
        <v>409</v>
      </c>
      <c r="H3">
        <f t="shared" ref="H3:H66" si="0">IFERROR(D3/E3, 0)</f>
        <v>52473.4</v>
      </c>
      <c r="I3">
        <f t="shared" ref="I3:I66" si="1">WEEKNUM(A3, 2)</f>
        <v>22</v>
      </c>
    </row>
    <row r="4" spans="1:24" ht="14.25" customHeight="1" x14ac:dyDescent="0.35">
      <c r="A4" s="5">
        <v>43979</v>
      </c>
      <c r="B4" s="6" t="s">
        <v>9</v>
      </c>
      <c r="C4" s="6">
        <v>8536.5</v>
      </c>
      <c r="D4" s="6">
        <v>643944</v>
      </c>
      <c r="E4" s="7">
        <f>SUMIFS(Лист2!$C:$C, Лист2!$A:$A, $A4, Лист2!$B:$B, $B4)</f>
        <v>15</v>
      </c>
      <c r="F4" s="7">
        <f>SUMIFS(Лист2!$D:$D, Лист2!$A:$A, $A4, Лист2!$B:$B, $B4)</f>
        <v>464</v>
      </c>
      <c r="G4" s="7">
        <f>SUMIFS(Лист2!$E:$E, Лист2!$A:$A, $A4, Лист2!$B:$B, $B4)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5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SUMIFS(Лист2!$C:$C, Лист2!$A:$A, $A5, Лист2!$B:$B, $B5)</f>
        <v>21</v>
      </c>
      <c r="F5" s="7">
        <f>SUMIFS(Лист2!$D:$D, Лист2!$A:$A, $A5, Лист2!$B:$B, $B5)</f>
        <v>2145</v>
      </c>
      <c r="G5" s="7">
        <f>SUMIFS(Лист2!$E:$E, Лист2!$A:$A, $A5, Лист2!$B:$B, $B5)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SUMIFS(Лист2!$C:$C, Лист2!$A:$A, $A6, Лист2!$B:$B, $B6)</f>
        <v>21</v>
      </c>
      <c r="F6" s="7">
        <f>SUMIFS(Лист2!$D:$D, Лист2!$A:$A, $A6, Лист2!$B:$B, $B6)</f>
        <v>1860</v>
      </c>
      <c r="G6" s="7">
        <f>SUMIFS(Лист2!$E:$E, Лист2!$A:$A, $A6, Лист2!$B:$B, $B6)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5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SUMIFS(Лист2!$C:$C, Лист2!$A:$A, $A7, Лист2!$B:$B, $B7)</f>
        <v>21</v>
      </c>
      <c r="F7" s="7">
        <f>SUMIFS(Лист2!$D:$D, Лист2!$A:$A, $A7, Лист2!$B:$B, $B7)</f>
        <v>1874</v>
      </c>
      <c r="G7" s="7">
        <f>SUMIFS(Лист2!$E:$E, Лист2!$A:$A, $A7, Лист2!$B:$B, $B7)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SUMIFS(Лист2!$C:$C, Лист2!$A:$A, $A8, Лист2!$B:$B, $B8)</f>
        <v>21</v>
      </c>
      <c r="F8" s="7">
        <f>SUMIFS(Лист2!$D:$D, Лист2!$A:$A, $A8, Лист2!$B:$B, $B8)</f>
        <v>1735</v>
      </c>
      <c r="G8" s="7">
        <f>SUMIFS(Лист2!$E:$E, Лист2!$A:$A, $A8, Лист2!$B:$B, $B8)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5">
      <c r="A9" s="8">
        <v>43955</v>
      </c>
      <c r="B9" s="9" t="s">
        <v>10</v>
      </c>
      <c r="C9" s="9">
        <v>25566</v>
      </c>
      <c r="D9" s="9">
        <v>2372310</v>
      </c>
      <c r="E9" s="7">
        <f>SUMIFS(Лист2!$C:$C, Лист2!$A:$A, $A9, Лист2!$B:$B, $B9)</f>
        <v>20</v>
      </c>
      <c r="F9" s="7">
        <f>SUMIFS(Лист2!$D:$D, Лист2!$A:$A, $A9, Лист2!$B:$B, $B9)</f>
        <v>1519</v>
      </c>
      <c r="G9" s="7">
        <f>SUMIFS(Лист2!$E:$E, Лист2!$A:$A, $A9, Лист2!$B:$B, $B9)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SUMIFS(Лист2!$C:$C, Лист2!$A:$A, $A10, Лист2!$B:$B, $B10)</f>
        <v>18</v>
      </c>
      <c r="F10" s="7">
        <f>SUMIFS(Лист2!$D:$D, Лист2!$A:$A, $A10, Лист2!$B:$B, $B10)</f>
        <v>1684</v>
      </c>
      <c r="G10" s="7">
        <f>SUMIFS(Лист2!$E:$E, Лист2!$A:$A, $A10, Лист2!$B:$B, $B10)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5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SUMIFS(Лист2!$C:$C, Лист2!$A:$A, $A11, Лист2!$B:$B, $B11)</f>
        <v>18</v>
      </c>
      <c r="F11" s="7">
        <f>SUMIFS(Лист2!$D:$D, Лист2!$A:$A, $A11, Лист2!$B:$B, $B11)</f>
        <v>1708</v>
      </c>
      <c r="G11" s="7">
        <f>SUMIFS(Лист2!$E:$E, Лист2!$A:$A, $A11, Лист2!$B:$B, $B11)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SUMIFS(Лист2!$C:$C, Лист2!$A:$A, $A12, Лист2!$B:$B, $B12)</f>
        <v>20</v>
      </c>
      <c r="F12" s="7">
        <f>SUMIFS(Лист2!$D:$D, Лист2!$A:$A, $A12, Лист2!$B:$B, $B12)</f>
        <v>2044</v>
      </c>
      <c r="G12" s="7">
        <f>SUMIFS(Лист2!$E:$E, Лист2!$A:$A, $A12, Лист2!$B:$B, $B12)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5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SUMIFS(Лист2!$C:$C, Лист2!$A:$A, $A13, Лист2!$B:$B, $B13)</f>
        <v>18</v>
      </c>
      <c r="F13" s="7">
        <f>SUMIFS(Лист2!$D:$D, Лист2!$A:$A, $A13, Лист2!$B:$B, $B13)</f>
        <v>1826</v>
      </c>
      <c r="G13" s="7">
        <f>SUMIFS(Лист2!$E:$E, Лист2!$A:$A, $A13, Лист2!$B:$B, $B13)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SUMIFS(Лист2!$C:$C, Лист2!$A:$A, $A14, Лист2!$B:$B, $B14)</f>
        <v>21</v>
      </c>
      <c r="F14" s="7">
        <f>SUMIFS(Лист2!$D:$D, Лист2!$A:$A, $A14, Лист2!$B:$B, $B14)</f>
        <v>1656</v>
      </c>
      <c r="G14" s="7">
        <f>SUMIFS(Лист2!$E:$E, Лист2!$A:$A, $A14, Лист2!$B:$B, $B14)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5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SUMIFS(Лист2!$C:$C, Лист2!$A:$A, $A15, Лист2!$B:$B, $B15)</f>
        <v>21</v>
      </c>
      <c r="F15" s="7">
        <f>SUMIFS(Лист2!$D:$D, Лист2!$A:$A, $A15, Лист2!$B:$B, $B15)</f>
        <v>1787</v>
      </c>
      <c r="G15" s="7">
        <f>SUMIFS(Лист2!$E:$E, Лист2!$A:$A, $A15, Лист2!$B:$B, $B15)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SUMIFS(Лист2!$C:$C, Лист2!$A:$A, $A16, Лист2!$B:$B, $B16)</f>
        <v>21</v>
      </c>
      <c r="F16" s="7">
        <f>SUMIFS(Лист2!$D:$D, Лист2!$A:$A, $A16, Лист2!$B:$B, $B16)</f>
        <v>1921</v>
      </c>
      <c r="G16" s="7">
        <f>SUMIFS(Лист2!$E:$E, Лист2!$A:$A, $A16, Лист2!$B:$B, $B16)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5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SUMIFS(Лист2!$C:$C, Лист2!$A:$A, $A17, Лист2!$B:$B, $B17)</f>
        <v>20</v>
      </c>
      <c r="F17" s="7">
        <f>SUMIFS(Лист2!$D:$D, Лист2!$A:$A, $A17, Лист2!$B:$B, $B17)</f>
        <v>1773</v>
      </c>
      <c r="G17" s="7">
        <f>SUMIFS(Лист2!$E:$E, Лист2!$A:$A, $A17, Лист2!$B:$B, $B17)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SUMIFS(Лист2!$C:$C, Лист2!$A:$A, $A18, Лист2!$B:$B, $B18)</f>
        <v>18</v>
      </c>
      <c r="F18" s="7">
        <f>SUMIFS(Лист2!$D:$D, Лист2!$A:$A, $A18, Лист2!$B:$B, $B18)</f>
        <v>1539</v>
      </c>
      <c r="G18" s="7">
        <f>SUMIFS(Лист2!$E:$E, Лист2!$A:$A, $A18, Лист2!$B:$B, $B18)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5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SUMIFS(Лист2!$C:$C, Лист2!$A:$A, $A19, Лист2!$B:$B, $B19)</f>
        <v>21</v>
      </c>
      <c r="F19" s="7">
        <f>SUMIFS(Лист2!$D:$D, Лист2!$A:$A, $A19, Лист2!$B:$B, $B19)</f>
        <v>1698</v>
      </c>
      <c r="G19" s="7">
        <f>SUMIFS(Лист2!$E:$E, Лист2!$A:$A, $A19, Лист2!$B:$B, $B19)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SUMIFS(Лист2!$C:$C, Лист2!$A:$A, $A20, Лист2!$B:$B, $B20)</f>
        <v>20</v>
      </c>
      <c r="F20" s="7">
        <f>SUMIFS(Лист2!$D:$D, Лист2!$A:$A, $A20, Лист2!$B:$B, $B20)</f>
        <v>1520</v>
      </c>
      <c r="G20" s="7">
        <f>SUMIFS(Лист2!$E:$E, Лист2!$A:$A, $A20, Лист2!$B:$B, $B20)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5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SUMIFS(Лист2!$C:$C, Лист2!$A:$A, $A21, Лист2!$B:$B, $B21)</f>
        <v>20</v>
      </c>
      <c r="F21" s="7">
        <f>SUMIFS(Лист2!$D:$D, Лист2!$A:$A, $A21, Лист2!$B:$B, $B21)</f>
        <v>1784</v>
      </c>
      <c r="G21" s="7">
        <f>SUMIFS(Лист2!$E:$E, Лист2!$A:$A, $A21, Лист2!$B:$B, $B21)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SUMIFS(Лист2!$C:$C, Лист2!$A:$A, $A22, Лист2!$B:$B, $B22)</f>
        <v>21</v>
      </c>
      <c r="F22" s="7">
        <f>SUMIFS(Лист2!$D:$D, Лист2!$A:$A, $A22, Лист2!$B:$B, $B22)</f>
        <v>2340</v>
      </c>
      <c r="G22" s="7">
        <f>SUMIFS(Лист2!$E:$E, Лист2!$A:$A, $A22, Лист2!$B:$B, $B22)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5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SUMIFS(Лист2!$C:$C, Лист2!$A:$A, $A23, Лист2!$B:$B, $B23)</f>
        <v>20</v>
      </c>
      <c r="F23" s="7">
        <f>SUMIFS(Лист2!$D:$D, Лист2!$A:$A, $A23, Лист2!$B:$B, $B23)</f>
        <v>2087</v>
      </c>
      <c r="G23" s="7">
        <f>SUMIFS(Лист2!$E:$E, Лист2!$A:$A, $A23, Лист2!$B:$B, $B23)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SUMIFS(Лист2!$C:$C, Лист2!$A:$A, $A24, Лист2!$B:$B, $B24)</f>
        <v>19</v>
      </c>
      <c r="F24" s="7">
        <f>SUMIFS(Лист2!$D:$D, Лист2!$A:$A, $A24, Лист2!$B:$B, $B24)</f>
        <v>1712</v>
      </c>
      <c r="G24" s="7">
        <f>SUMIFS(Лист2!$E:$E, Лист2!$A:$A, $A24, Лист2!$B:$B, $B24)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5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SUMIFS(Лист2!$C:$C, Лист2!$A:$A, $A25, Лист2!$B:$B, $B25)</f>
        <v>21</v>
      </c>
      <c r="F25" s="7">
        <f>SUMIFS(Лист2!$D:$D, Лист2!$A:$A, $A25, Лист2!$B:$B, $B25)</f>
        <v>2016</v>
      </c>
      <c r="G25" s="7">
        <f>SUMIFS(Лист2!$E:$E, Лист2!$A:$A, $A25, Лист2!$B:$B, $B25)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SUMIFS(Лист2!$C:$C, Лист2!$A:$A, $A26, Лист2!$B:$B, $B26)</f>
        <v>21</v>
      </c>
      <c r="F26" s="7">
        <f>SUMIFS(Лист2!$D:$D, Лист2!$A:$A, $A26, Лист2!$B:$B, $B26)</f>
        <v>1646</v>
      </c>
      <c r="G26" s="7">
        <f>SUMIFS(Лист2!$E:$E, Лист2!$A:$A, $A26, Лист2!$B:$B, $B26)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5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SUMIFS(Лист2!$C:$C, Лист2!$A:$A, $A27, Лист2!$B:$B, $B27)</f>
        <v>21</v>
      </c>
      <c r="F27" s="7">
        <f>SUMIFS(Лист2!$D:$D, Лист2!$A:$A, $A27, Лист2!$B:$B, $B27)</f>
        <v>1542</v>
      </c>
      <c r="G27" s="7">
        <f>SUMIFS(Лист2!$E:$E, Лист2!$A:$A, $A27, Лист2!$B:$B, $B27)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SUMIFS(Лист2!$C:$C, Лист2!$A:$A, $A28, Лист2!$B:$B, $B28)</f>
        <v>20</v>
      </c>
      <c r="F28" s="7">
        <f>SUMIFS(Лист2!$D:$D, Лист2!$A:$A, $A28, Лист2!$B:$B, $B28)</f>
        <v>1999</v>
      </c>
      <c r="G28" s="7">
        <f>SUMIFS(Лист2!$E:$E, Лист2!$A:$A, $A28, Лист2!$B:$B, $B28)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5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SUMIFS(Лист2!$C:$C, Лист2!$A:$A, $A29, Лист2!$B:$B, $B29)</f>
        <v>21</v>
      </c>
      <c r="F29" s="7">
        <f>SUMIFS(Лист2!$D:$D, Лист2!$A:$A, $A29, Лист2!$B:$B, $B29)</f>
        <v>2271</v>
      </c>
      <c r="G29" s="7">
        <f>SUMIFS(Лист2!$E:$E, Лист2!$A:$A, $A29, Лист2!$B:$B, $B29)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SUMIFS(Лист2!$C:$C, Лист2!$A:$A, $A30, Лист2!$B:$B, $B30)</f>
        <v>20</v>
      </c>
      <c r="F30" s="7">
        <f>SUMIFS(Лист2!$D:$D, Лист2!$A:$A, $A30, Лист2!$B:$B, $B30)</f>
        <v>2597</v>
      </c>
      <c r="G30" s="7">
        <f>SUMIFS(Лист2!$E:$E, Лист2!$A:$A, $A30, Лист2!$B:$B, $B30)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5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SUMIFS(Лист2!$C:$C, Лист2!$A:$A, $A31, Лист2!$B:$B, $B31)</f>
        <v>20</v>
      </c>
      <c r="F31" s="7">
        <f>SUMIFS(Лист2!$D:$D, Лист2!$A:$A, $A31, Лист2!$B:$B, $B31)</f>
        <v>1886</v>
      </c>
      <c r="G31" s="7">
        <f>SUMIFS(Лист2!$E:$E, Лист2!$A:$A, $A31, Лист2!$B:$B, $B31)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SUMIFS(Лист2!$C:$C, Лист2!$A:$A, $A32, Лист2!$B:$B, $B32)</f>
        <v>31</v>
      </c>
      <c r="F32" s="7">
        <f>SUMIFS(Лист2!$D:$D, Лист2!$A:$A, $A32, Лист2!$B:$B, $B32)</f>
        <v>5593</v>
      </c>
      <c r="G32" s="7">
        <f>SUMIFS(Лист2!$E:$E, Лист2!$A:$A, $A32, Лист2!$B:$B, $B32)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5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SUMIFS(Лист2!$C:$C, Лист2!$A:$A, $A33, Лист2!$B:$B, $B33)</f>
        <v>31</v>
      </c>
      <c r="F33" s="7">
        <f>SUMIFS(Лист2!$D:$D, Лист2!$A:$A, $A33, Лист2!$B:$B, $B33)</f>
        <v>5389</v>
      </c>
      <c r="G33" s="7">
        <f>SUMIFS(Лист2!$E:$E, Лист2!$A:$A, $A33, Лист2!$B:$B, $B33)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SUMIFS(Лист2!$C:$C, Лист2!$A:$A, $A34, Лист2!$B:$B, $B34)</f>
        <v>31</v>
      </c>
      <c r="F34" s="7">
        <f>SUMIFS(Лист2!$D:$D, Лист2!$A:$A, $A34, Лист2!$B:$B, $B34)</f>
        <v>5206</v>
      </c>
      <c r="G34" s="7">
        <f>SUMIFS(Лист2!$E:$E, Лист2!$A:$A, $A34, Лист2!$B:$B, $B34)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5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SUMIFS(Лист2!$C:$C, Лист2!$A:$A, $A35, Лист2!$B:$B, $B35)</f>
        <v>31</v>
      </c>
      <c r="F35" s="7">
        <f>SUMIFS(Лист2!$D:$D, Лист2!$A:$A, $A35, Лист2!$B:$B, $B35)</f>
        <v>4556</v>
      </c>
      <c r="G35" s="7">
        <f>SUMIFS(Лист2!$E:$E, Лист2!$A:$A, $A35, Лист2!$B:$B, $B35)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SUMIFS(Лист2!$C:$C, Лист2!$A:$A, $A36, Лист2!$B:$B, $B36)</f>
        <v>31</v>
      </c>
      <c r="F36" s="7">
        <f>SUMIFS(Лист2!$D:$D, Лист2!$A:$A, $A36, Лист2!$B:$B, $B36)</f>
        <v>4968</v>
      </c>
      <c r="G36" s="7">
        <f>SUMIFS(Лист2!$E:$E, Лист2!$A:$A, $A36, Лист2!$B:$B, $B36)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5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SUMIFS(Лист2!$C:$C, Лист2!$A:$A, $A37, Лист2!$B:$B, $B37)</f>
        <v>31</v>
      </c>
      <c r="F37" s="7">
        <f>SUMIFS(Лист2!$D:$D, Лист2!$A:$A, $A37, Лист2!$B:$B, $B37)</f>
        <v>5378</v>
      </c>
      <c r="G37" s="7">
        <f>SUMIFS(Лист2!$E:$E, Лист2!$A:$A, $A37, Лист2!$B:$B, $B37)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SUMIFS(Лист2!$C:$C, Лист2!$A:$A, $A38, Лист2!$B:$B, $B38)</f>
        <v>31</v>
      </c>
      <c r="F38" s="7">
        <f>SUMIFS(Лист2!$D:$D, Лист2!$A:$A, $A38, Лист2!$B:$B, $B38)</f>
        <v>4157</v>
      </c>
      <c r="G38" s="7">
        <f>SUMIFS(Лист2!$E:$E, Лист2!$A:$A, $A38, Лист2!$B:$B, $B38)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5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SUMIFS(Лист2!$C:$C, Лист2!$A:$A, $A39, Лист2!$B:$B, $B39)</f>
        <v>31</v>
      </c>
      <c r="F39" s="7">
        <f>SUMIFS(Лист2!$D:$D, Лист2!$A:$A, $A39, Лист2!$B:$B, $B39)</f>
        <v>5493</v>
      </c>
      <c r="G39" s="7">
        <f>SUMIFS(Лист2!$E:$E, Лист2!$A:$A, $A39, Лист2!$B:$B, $B39)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SUMIFS(Лист2!$C:$C, Лист2!$A:$A, $A40, Лист2!$B:$B, $B40)</f>
        <v>31</v>
      </c>
      <c r="F40" s="7">
        <f>SUMIFS(Лист2!$D:$D, Лист2!$A:$A, $A40, Лист2!$B:$B, $B40)</f>
        <v>6118</v>
      </c>
      <c r="G40" s="7">
        <f>SUMIFS(Лист2!$E:$E, Лист2!$A:$A, $A40, Лист2!$B:$B, $B40)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5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SUMIFS(Лист2!$C:$C, Лист2!$A:$A, $A41, Лист2!$B:$B, $B41)</f>
        <v>31</v>
      </c>
      <c r="F41" s="7">
        <f>SUMIFS(Лист2!$D:$D, Лист2!$A:$A, $A41, Лист2!$B:$B, $B41)</f>
        <v>4800</v>
      </c>
      <c r="G41" s="7">
        <f>SUMIFS(Лист2!$E:$E, Лист2!$A:$A, $A41, Лист2!$B:$B, $B41)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SUMIFS(Лист2!$C:$C, Лист2!$A:$A, $A42, Лист2!$B:$B, $B42)</f>
        <v>31</v>
      </c>
      <c r="F42" s="7">
        <f>SUMIFS(Лист2!$D:$D, Лист2!$A:$A, $A42, Лист2!$B:$B, $B42)</f>
        <v>5207</v>
      </c>
      <c r="G42" s="7">
        <f>SUMIFS(Лист2!$E:$E, Лист2!$A:$A, $A42, Лист2!$B:$B, $B42)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5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SUMIFS(Лист2!$C:$C, Лист2!$A:$A, $A43, Лист2!$B:$B, $B43)</f>
        <v>31</v>
      </c>
      <c r="F43" s="7">
        <f>SUMIFS(Лист2!$D:$D, Лист2!$A:$A, $A43, Лист2!$B:$B, $B43)</f>
        <v>5698</v>
      </c>
      <c r="G43" s="7">
        <f>SUMIFS(Лист2!$E:$E, Лист2!$A:$A, $A43, Лист2!$B:$B, $B43)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SUMIFS(Лист2!$C:$C, Лист2!$A:$A, $A44, Лист2!$B:$B, $B44)</f>
        <v>31</v>
      </c>
      <c r="F44" s="7">
        <f>SUMIFS(Лист2!$D:$D, Лист2!$A:$A, $A44, Лист2!$B:$B, $B44)</f>
        <v>5188</v>
      </c>
      <c r="G44" s="7">
        <f>SUMIFS(Лист2!$E:$E, Лист2!$A:$A, $A44, Лист2!$B:$B, $B44)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5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SUMIFS(Лист2!$C:$C, Лист2!$A:$A, $A45, Лист2!$B:$B, $B45)</f>
        <v>31</v>
      </c>
      <c r="F45" s="7">
        <f>SUMIFS(Лист2!$D:$D, Лист2!$A:$A, $A45, Лист2!$B:$B, $B45)</f>
        <v>5465</v>
      </c>
      <c r="G45" s="7">
        <f>SUMIFS(Лист2!$E:$E, Лист2!$A:$A, $A45, Лист2!$B:$B, $B45)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SUMIFS(Лист2!$C:$C, Лист2!$A:$A, $A46, Лист2!$B:$B, $B46)</f>
        <v>31</v>
      </c>
      <c r="F46" s="7">
        <f>SUMIFS(Лист2!$D:$D, Лист2!$A:$A, $A46, Лист2!$B:$B, $B46)</f>
        <v>5251</v>
      </c>
      <c r="G46" s="7">
        <f>SUMIFS(Лист2!$E:$E, Лист2!$A:$A, $A46, Лист2!$B:$B, $B46)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5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SUMIFS(Лист2!$C:$C, Лист2!$A:$A, $A47, Лист2!$B:$B, $B47)</f>
        <v>31</v>
      </c>
      <c r="F47" s="7">
        <f>SUMIFS(Лист2!$D:$D, Лист2!$A:$A, $A47, Лист2!$B:$B, $B47)</f>
        <v>5155</v>
      </c>
      <c r="G47" s="7">
        <f>SUMIFS(Лист2!$E:$E, Лист2!$A:$A, $A47, Лист2!$B:$B, $B47)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SUMIFS(Лист2!$C:$C, Лист2!$A:$A, $A48, Лист2!$B:$B, $B48)</f>
        <v>31</v>
      </c>
      <c r="F48" s="7">
        <f>SUMIFS(Лист2!$D:$D, Лист2!$A:$A, $A48, Лист2!$B:$B, $B48)</f>
        <v>4709</v>
      </c>
      <c r="G48" s="7">
        <f>SUMIFS(Лист2!$E:$E, Лист2!$A:$A, $A48, Лист2!$B:$B, $B48)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5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SUMIFS(Лист2!$C:$C, Лист2!$A:$A, $A49, Лист2!$B:$B, $B49)</f>
        <v>31</v>
      </c>
      <c r="F49" s="7">
        <f>SUMIFS(Лист2!$D:$D, Лист2!$A:$A, $A49, Лист2!$B:$B, $B49)</f>
        <v>6276</v>
      </c>
      <c r="G49" s="7">
        <f>SUMIFS(Лист2!$E:$E, Лист2!$A:$A, $A49, Лист2!$B:$B, $B49)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SUMIFS(Лист2!$C:$C, Лист2!$A:$A, $A50, Лист2!$B:$B, $B50)</f>
        <v>31</v>
      </c>
      <c r="F50" s="7">
        <f>SUMIFS(Лист2!$D:$D, Лист2!$A:$A, $A50, Лист2!$B:$B, $B50)</f>
        <v>5210</v>
      </c>
      <c r="G50" s="7">
        <f>SUMIFS(Лист2!$E:$E, Лист2!$A:$A, $A50, Лист2!$B:$B, $B50)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5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SUMIFS(Лист2!$C:$C, Лист2!$A:$A, $A51, Лист2!$B:$B, $B51)</f>
        <v>31</v>
      </c>
      <c r="F51" s="7">
        <f>SUMIFS(Лист2!$D:$D, Лист2!$A:$A, $A51, Лист2!$B:$B, $B51)</f>
        <v>5120</v>
      </c>
      <c r="G51" s="7">
        <f>SUMIFS(Лист2!$E:$E, Лист2!$A:$A, $A51, Лист2!$B:$B, $B51)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SUMIFS(Лист2!$C:$C, Лист2!$A:$A, $A52, Лист2!$B:$B, $B52)</f>
        <v>31</v>
      </c>
      <c r="F52" s="7">
        <f>SUMIFS(Лист2!$D:$D, Лист2!$A:$A, $A52, Лист2!$B:$B, $B52)</f>
        <v>5495</v>
      </c>
      <c r="G52" s="7">
        <f>SUMIFS(Лист2!$E:$E, Лист2!$A:$A, $A52, Лист2!$B:$B, $B52)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5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SUMIFS(Лист2!$C:$C, Лист2!$A:$A, $A53, Лист2!$B:$B, $B53)</f>
        <v>31</v>
      </c>
      <c r="F53" s="7">
        <f>SUMIFS(Лист2!$D:$D, Лист2!$A:$A, $A53, Лист2!$B:$B, $B53)</f>
        <v>4635</v>
      </c>
      <c r="G53" s="7">
        <f>SUMIFS(Лист2!$E:$E, Лист2!$A:$A, $A53, Лист2!$B:$B, $B53)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SUMIFS(Лист2!$C:$C, Лист2!$A:$A, $A54, Лист2!$B:$B, $B54)</f>
        <v>31</v>
      </c>
      <c r="F54" s="7">
        <f>SUMIFS(Лист2!$D:$D, Лист2!$A:$A, $A54, Лист2!$B:$B, $B54)</f>
        <v>4903</v>
      </c>
      <c r="G54" s="7">
        <f>SUMIFS(Лист2!$E:$E, Лист2!$A:$A, $A54, Лист2!$B:$B, $B54)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5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SUMIFS(Лист2!$C:$C, Лист2!$A:$A, $A55, Лист2!$B:$B, $B55)</f>
        <v>31</v>
      </c>
      <c r="F55" s="7">
        <f>SUMIFS(Лист2!$D:$D, Лист2!$A:$A, $A55, Лист2!$B:$B, $B55)</f>
        <v>5035</v>
      </c>
      <c r="G55" s="7">
        <f>SUMIFS(Лист2!$E:$E, Лист2!$A:$A, $A55, Лист2!$B:$B, $B55)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SUMIFS(Лист2!$C:$C, Лист2!$A:$A, $A56, Лист2!$B:$B, $B56)</f>
        <v>10</v>
      </c>
      <c r="F56" s="7">
        <f>SUMIFS(Лист2!$D:$D, Лист2!$A:$A, $A56, Лист2!$B:$B, $B56)</f>
        <v>760</v>
      </c>
      <c r="G56" s="7">
        <f>SUMIFS(Лист2!$E:$E, Лист2!$A:$A, $A56, Лист2!$B:$B, $B56)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5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SUMIFS(Лист2!$C:$C, Лист2!$A:$A, $A57, Лист2!$B:$B, $B57)</f>
        <v>10</v>
      </c>
      <c r="F57" s="7">
        <f>SUMIFS(Лист2!$D:$D, Лист2!$A:$A, $A57, Лист2!$B:$B, $B57)</f>
        <v>649</v>
      </c>
      <c r="G57" s="7">
        <f>SUMIFS(Лист2!$E:$E, Лист2!$A:$A, $A57, Лист2!$B:$B, $B57)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SUMIFS(Лист2!$C:$C, Лист2!$A:$A, $A58, Лист2!$B:$B, $B58)</f>
        <v>10</v>
      </c>
      <c r="F58" s="7">
        <f>SUMIFS(Лист2!$D:$D, Лист2!$A:$A, $A58, Лист2!$B:$B, $B58)</f>
        <v>591</v>
      </c>
      <c r="G58" s="7">
        <f>SUMIFS(Лист2!$E:$E, Лист2!$A:$A, $A58, Лист2!$B:$B, $B58)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5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SUMIFS(Лист2!$C:$C, Лист2!$A:$A, $A59, Лист2!$B:$B, $B59)</f>
        <v>10</v>
      </c>
      <c r="F59" s="7">
        <f>SUMIFS(Лист2!$D:$D, Лист2!$A:$A, $A59, Лист2!$B:$B, $B59)</f>
        <v>644</v>
      </c>
      <c r="G59" s="7">
        <f>SUMIFS(Лист2!$E:$E, Лист2!$A:$A, $A59, Лист2!$B:$B, $B59)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SUMIFS(Лист2!$C:$C, Лист2!$A:$A, $A60, Лист2!$B:$B, $B60)</f>
        <v>10</v>
      </c>
      <c r="F60" s="7">
        <f>SUMIFS(Лист2!$D:$D, Лист2!$A:$A, $A60, Лист2!$B:$B, $B60)</f>
        <v>462</v>
      </c>
      <c r="G60" s="7">
        <f>SUMIFS(Лист2!$E:$E, Лист2!$A:$A, $A60, Лист2!$B:$B, $B60)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5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SUMIFS(Лист2!$C:$C, Лист2!$A:$A, $A61, Лист2!$B:$B, $B61)</f>
        <v>10</v>
      </c>
      <c r="F61" s="7">
        <f>SUMIFS(Лист2!$D:$D, Лист2!$A:$A, $A61, Лист2!$B:$B, $B61)</f>
        <v>502</v>
      </c>
      <c r="G61" s="7">
        <f>SUMIFS(Лист2!$E:$E, Лист2!$A:$A, $A61, Лист2!$B:$B, $B61)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SUMIFS(Лист2!$C:$C, Лист2!$A:$A, $A62, Лист2!$B:$B, $B62)</f>
        <v>10</v>
      </c>
      <c r="F62" s="7">
        <f>SUMIFS(Лист2!$D:$D, Лист2!$A:$A, $A62, Лист2!$B:$B, $B62)</f>
        <v>416</v>
      </c>
      <c r="G62" s="7">
        <f>SUMIFS(Лист2!$E:$E, Лист2!$A:$A, $A62, Лист2!$B:$B, $B62)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5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SUMIFS(Лист2!$C:$C, Лист2!$A:$A, $A63, Лист2!$B:$B, $B63)</f>
        <v>10</v>
      </c>
      <c r="F63" s="7">
        <f>SUMIFS(Лист2!$D:$D, Лист2!$A:$A, $A63, Лист2!$B:$B, $B63)</f>
        <v>692</v>
      </c>
      <c r="G63" s="7">
        <f>SUMIFS(Лист2!$E:$E, Лист2!$A:$A, $A63, Лист2!$B:$B, $B63)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SUMIFS(Лист2!$C:$C, Лист2!$A:$A, $A64, Лист2!$B:$B, $B64)</f>
        <v>10</v>
      </c>
      <c r="F64" s="7">
        <f>SUMIFS(Лист2!$D:$D, Лист2!$A:$A, $A64, Лист2!$B:$B, $B64)</f>
        <v>554</v>
      </c>
      <c r="G64" s="7">
        <f>SUMIFS(Лист2!$E:$E, Лист2!$A:$A, $A64, Лист2!$B:$B, $B64)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5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SUMIFS(Лист2!$C:$C, Лист2!$A:$A, $A65, Лист2!$B:$B, $B65)</f>
        <v>10</v>
      </c>
      <c r="F65" s="7">
        <f>SUMIFS(Лист2!$D:$D, Лист2!$A:$A, $A65, Лист2!$B:$B, $B65)</f>
        <v>526</v>
      </c>
      <c r="G65" s="7">
        <f>SUMIFS(Лист2!$E:$E, Лист2!$A:$A, $A65, Лист2!$B:$B, $B65)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SUMIFS(Лист2!$C:$C, Лист2!$A:$A, $A66, Лист2!$B:$B, $B66)</f>
        <v>10</v>
      </c>
      <c r="F66" s="7">
        <f>SUMIFS(Лист2!$D:$D, Лист2!$A:$A, $A66, Лист2!$B:$B, $B66)</f>
        <v>677</v>
      </c>
      <c r="G66" s="7">
        <f>SUMIFS(Лист2!$E:$E, Лист2!$A:$A, $A66, Лист2!$B:$B, $B66)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5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SUMIFS(Лист2!$C:$C, Лист2!$A:$A, $A67, Лист2!$B:$B, $B67)</f>
        <v>10</v>
      </c>
      <c r="F67" s="7">
        <f>SUMIFS(Лист2!$D:$D, Лист2!$A:$A, $A67, Лист2!$B:$B, $B67)</f>
        <v>745</v>
      </c>
      <c r="G67" s="7">
        <f>SUMIFS(Лист2!$E:$E, Лист2!$A:$A, $A67, Лист2!$B:$B, $B67)</f>
        <v>654</v>
      </c>
      <c r="H67">
        <f t="shared" ref="H67:H130" si="2">IFERROR(D67/E67, 0)</f>
        <v>103724.7</v>
      </c>
      <c r="I67">
        <f t="shared" ref="I67:I130" si="3">WEEKNUM(A67, 2)</f>
        <v>21</v>
      </c>
    </row>
    <row r="68" spans="1:9" ht="14.25" customHeight="1" x14ac:dyDescent="0.3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SUMIFS(Лист2!$C:$C, Лист2!$A:$A, $A68, Лист2!$B:$B, $B68)</f>
        <v>10</v>
      </c>
      <c r="F68" s="7">
        <f>SUMIFS(Лист2!$D:$D, Лист2!$A:$A, $A68, Лист2!$B:$B, $B68)</f>
        <v>511</v>
      </c>
      <c r="G68" s="7">
        <f>SUMIFS(Лист2!$E:$E, Лист2!$A:$A, $A68, Лист2!$B:$B, $B68)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5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SUMIFS(Лист2!$C:$C, Лист2!$A:$A, $A69, Лист2!$B:$B, $B69)</f>
        <v>10</v>
      </c>
      <c r="F69" s="7">
        <f>SUMIFS(Лист2!$D:$D, Лист2!$A:$A, $A69, Лист2!$B:$B, $B69)</f>
        <v>580</v>
      </c>
      <c r="G69" s="7">
        <f>SUMIFS(Лист2!$E:$E, Лист2!$A:$A, $A69, Лист2!$B:$B, $B69)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SUMIFS(Лист2!$C:$C, Лист2!$A:$A, $A70, Лист2!$B:$B, $B70)</f>
        <v>10</v>
      </c>
      <c r="F70" s="7">
        <f>SUMIFS(Лист2!$D:$D, Лист2!$A:$A, $A70, Лист2!$B:$B, $B70)</f>
        <v>612</v>
      </c>
      <c r="G70" s="7">
        <f>SUMIFS(Лист2!$E:$E, Лист2!$A:$A, $A70, Лист2!$B:$B, $B70)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5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SUMIFS(Лист2!$C:$C, Лист2!$A:$A, $A71, Лист2!$B:$B, $B71)</f>
        <v>31</v>
      </c>
      <c r="F71" s="7">
        <f>SUMIFS(Лист2!$D:$D, Лист2!$A:$A, $A71, Лист2!$B:$B, $B71)</f>
        <v>5760</v>
      </c>
      <c r="G71" s="7">
        <f>SUMIFS(Лист2!$E:$E, Лист2!$A:$A, $A71, Лист2!$B:$B, $B71)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SUMIFS(Лист2!$C:$C, Лист2!$A:$A, $A72, Лист2!$B:$B, $B72)</f>
        <v>10</v>
      </c>
      <c r="F72" s="7">
        <f>SUMIFS(Лист2!$D:$D, Лист2!$A:$A, $A72, Лист2!$B:$B, $B72)</f>
        <v>402</v>
      </c>
      <c r="G72" s="7">
        <f>SUMIFS(Лист2!$E:$E, Лист2!$A:$A, $A72, Лист2!$B:$B, $B72)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5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SUMIFS(Лист2!$C:$C, Лист2!$A:$A, $A73, Лист2!$B:$B, $B73)</f>
        <v>31</v>
      </c>
      <c r="F73" s="7">
        <f>SUMIFS(Лист2!$D:$D, Лист2!$A:$A, $A73, Лист2!$B:$B, $B73)</f>
        <v>6735</v>
      </c>
      <c r="G73" s="7">
        <f>SUMIFS(Лист2!$E:$E, Лист2!$A:$A, $A73, Лист2!$B:$B, $B73)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SUMIFS(Лист2!$C:$C, Лист2!$A:$A, $A74, Лист2!$B:$B, $B74)</f>
        <v>10</v>
      </c>
      <c r="F74" s="7">
        <f>SUMIFS(Лист2!$D:$D, Лист2!$A:$A, $A74, Лист2!$B:$B, $B74)</f>
        <v>465</v>
      </c>
      <c r="G74" s="7">
        <f>SUMIFS(Лист2!$E:$E, Лист2!$A:$A, $A74, Лист2!$B:$B, $B74)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5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SUMIFS(Лист2!$C:$C, Лист2!$A:$A, $A75, Лист2!$B:$B, $B75)</f>
        <v>10</v>
      </c>
      <c r="F75" s="7">
        <f>SUMIFS(Лист2!$D:$D, Лист2!$A:$A, $A75, Лист2!$B:$B, $B75)</f>
        <v>828</v>
      </c>
      <c r="G75" s="7">
        <f>SUMIFS(Лист2!$E:$E, Лист2!$A:$A, $A75, Лист2!$B:$B, $B75)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SUMIFS(Лист2!$C:$C, Лист2!$A:$A, $A76, Лист2!$B:$B, $B76)</f>
        <v>31</v>
      </c>
      <c r="F76" s="7">
        <f>SUMIFS(Лист2!$D:$D, Лист2!$A:$A, $A76, Лист2!$B:$B, $B76)</f>
        <v>5355</v>
      </c>
      <c r="G76" s="7">
        <f>SUMIFS(Лист2!$E:$E, Лист2!$A:$A, $A76, Лист2!$B:$B, $B76)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5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SUMIFS(Лист2!$C:$C, Лист2!$A:$A, $A77, Лист2!$B:$B, $B77)</f>
        <v>10</v>
      </c>
      <c r="F77" s="7">
        <f>SUMIFS(Лист2!$D:$D, Лист2!$A:$A, $A77, Лист2!$B:$B, $B77)</f>
        <v>739</v>
      </c>
      <c r="G77" s="7">
        <f>SUMIFS(Лист2!$E:$E, Лист2!$A:$A, $A77, Лист2!$B:$B, $B77)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SUMIFS(Лист2!$C:$C, Лист2!$A:$A, $A78, Лист2!$B:$B, $B78)</f>
        <v>10</v>
      </c>
      <c r="F78" s="7">
        <f>SUMIFS(Лист2!$D:$D, Лист2!$A:$A, $A78, Лист2!$B:$B, $B78)</f>
        <v>448</v>
      </c>
      <c r="G78" s="7">
        <f>SUMIFS(Лист2!$E:$E, Лист2!$A:$A, $A78, Лист2!$B:$B, $B78)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5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SUMIFS(Лист2!$C:$C, Лист2!$A:$A, $A79, Лист2!$B:$B, $B79)</f>
        <v>10</v>
      </c>
      <c r="F79" s="7">
        <f>SUMIFS(Лист2!$D:$D, Лист2!$A:$A, $A79, Лист2!$B:$B, $B79)</f>
        <v>642</v>
      </c>
      <c r="G79" s="7">
        <f>SUMIFS(Лист2!$E:$E, Лист2!$A:$A, $A79, Лист2!$B:$B, $B79)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SUMIFS(Лист2!$C:$C, Лист2!$A:$A, $A80, Лист2!$B:$B, $B80)</f>
        <v>10</v>
      </c>
      <c r="F80" s="7">
        <f>SUMIFS(Лист2!$D:$D, Лист2!$A:$A, $A80, Лист2!$B:$B, $B80)</f>
        <v>638</v>
      </c>
      <c r="G80" s="7">
        <f>SUMIFS(Лист2!$E:$E, Лист2!$A:$A, $A80, Лист2!$B:$B, $B80)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5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SUMIFS(Лист2!$C:$C, Лист2!$A:$A, $A81, Лист2!$B:$B, $B81)</f>
        <v>10</v>
      </c>
      <c r="F81" s="7">
        <f>SUMIFS(Лист2!$D:$D, Лист2!$A:$A, $A81, Лист2!$B:$B, $B81)</f>
        <v>563</v>
      </c>
      <c r="G81" s="7">
        <f>SUMIFS(Лист2!$E:$E, Лист2!$A:$A, $A81, Лист2!$B:$B, $B81)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SUMIFS(Лист2!$C:$C, Лист2!$A:$A, $A82, Лист2!$B:$B, $B82)</f>
        <v>10</v>
      </c>
      <c r="F82" s="7">
        <f>SUMIFS(Лист2!$D:$D, Лист2!$A:$A, $A82, Лист2!$B:$B, $B82)</f>
        <v>639</v>
      </c>
      <c r="G82" s="7">
        <f>SUMIFS(Лист2!$E:$E, Лист2!$A:$A, $A82, Лист2!$B:$B, $B82)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5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SUMIFS(Лист2!$C:$C, Лист2!$A:$A, $A83, Лист2!$B:$B, $B83)</f>
        <v>10</v>
      </c>
      <c r="F83" s="7">
        <f>SUMIFS(Лист2!$D:$D, Лист2!$A:$A, $A83, Лист2!$B:$B, $B83)</f>
        <v>749</v>
      </c>
      <c r="G83" s="7">
        <f>SUMIFS(Лист2!$E:$E, Лист2!$A:$A, $A83, Лист2!$B:$B, $B83)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SUMIFS(Лист2!$C:$C, Лист2!$A:$A, $A84, Лист2!$B:$B, $B84)</f>
        <v>10</v>
      </c>
      <c r="F84" s="7">
        <f>SUMIFS(Лист2!$D:$D, Лист2!$A:$A, $A84, Лист2!$B:$B, $B84)</f>
        <v>865</v>
      </c>
      <c r="G84" s="7">
        <f>SUMIFS(Лист2!$E:$E, Лист2!$A:$A, $A84, Лист2!$B:$B, $B84)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5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SUMIFS(Лист2!$C:$C, Лист2!$A:$A, $A85, Лист2!$B:$B, $B85)</f>
        <v>10</v>
      </c>
      <c r="F85" s="7">
        <f>SUMIFS(Лист2!$D:$D, Лист2!$A:$A, $A85, Лист2!$B:$B, $B85)</f>
        <v>791</v>
      </c>
      <c r="G85" s="7">
        <f>SUMIFS(Лист2!$E:$E, Лист2!$A:$A, $A85, Лист2!$B:$B, $B85)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SUMIFS(Лист2!$C:$C, Лист2!$A:$A, $A86, Лист2!$B:$B, $B86)</f>
        <v>19</v>
      </c>
      <c r="F86" s="7">
        <f>SUMIFS(Лист2!$D:$D, Лист2!$A:$A, $A86, Лист2!$B:$B, $B86)</f>
        <v>2080</v>
      </c>
      <c r="G86" s="7">
        <f>SUMIFS(Лист2!$E:$E, Лист2!$A:$A, $A86, Лист2!$B:$B, $B86)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5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SUMIFS(Лист2!$C:$C, Лист2!$A:$A, $A87, Лист2!$B:$B, $B87)</f>
        <v>19</v>
      </c>
      <c r="F87" s="7">
        <f>SUMIFS(Лист2!$D:$D, Лист2!$A:$A, $A87, Лист2!$B:$B, $B87)</f>
        <v>1999</v>
      </c>
      <c r="G87" s="7">
        <f>SUMIFS(Лист2!$E:$E, Лист2!$A:$A, $A87, Лист2!$B:$B, $B87)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SUMIFS(Лист2!$C:$C, Лист2!$A:$A, $A88, Лист2!$B:$B, $B88)</f>
        <v>19</v>
      </c>
      <c r="F88" s="7">
        <f>SUMIFS(Лист2!$D:$D, Лист2!$A:$A, $A88, Лист2!$B:$B, $B88)</f>
        <v>1871</v>
      </c>
      <c r="G88" s="7">
        <f>SUMIFS(Лист2!$E:$E, Лист2!$A:$A, $A88, Лист2!$B:$B, $B88)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5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SUMIFS(Лист2!$C:$C, Лист2!$A:$A, $A89, Лист2!$B:$B, $B89)</f>
        <v>19</v>
      </c>
      <c r="F89" s="7">
        <f>SUMIFS(Лист2!$D:$D, Лист2!$A:$A, $A89, Лист2!$B:$B, $B89)</f>
        <v>1851</v>
      </c>
      <c r="G89" s="7">
        <f>SUMIFS(Лист2!$E:$E, Лист2!$A:$A, $A89, Лист2!$B:$B, $B89)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SUMIFS(Лист2!$C:$C, Лист2!$A:$A, $A90, Лист2!$B:$B, $B90)</f>
        <v>19</v>
      </c>
      <c r="F90" s="7">
        <f>SUMIFS(Лист2!$D:$D, Лист2!$A:$A, $A90, Лист2!$B:$B, $B90)</f>
        <v>1582</v>
      </c>
      <c r="G90" s="7">
        <f>SUMIFS(Лист2!$E:$E, Лист2!$A:$A, $A90, Лист2!$B:$B, $B90)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5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SUMIFS(Лист2!$C:$C, Лист2!$A:$A, $A91, Лист2!$B:$B, $B91)</f>
        <v>18</v>
      </c>
      <c r="F91" s="7">
        <f>SUMIFS(Лист2!$D:$D, Лист2!$A:$A, $A91, Лист2!$B:$B, $B91)</f>
        <v>1534</v>
      </c>
      <c r="G91" s="7">
        <f>SUMIFS(Лист2!$E:$E, Лист2!$A:$A, $A91, Лист2!$B:$B, $B91)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SUMIFS(Лист2!$C:$C, Лист2!$A:$A, $A92, Лист2!$B:$B, $B92)</f>
        <v>19</v>
      </c>
      <c r="F92" s="7">
        <f>SUMIFS(Лист2!$D:$D, Лист2!$A:$A, $A92, Лист2!$B:$B, $B92)</f>
        <v>1217</v>
      </c>
      <c r="G92" s="7">
        <f>SUMIFS(Лист2!$E:$E, Лист2!$A:$A, $A92, Лист2!$B:$B, $B92)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5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SUMIFS(Лист2!$C:$C, Лист2!$A:$A, $A93, Лист2!$B:$B, $B93)</f>
        <v>20</v>
      </c>
      <c r="F93" s="7">
        <f>SUMIFS(Лист2!$D:$D, Лист2!$A:$A, $A93, Лист2!$B:$B, $B93)</f>
        <v>2036</v>
      </c>
      <c r="G93" s="7">
        <f>SUMIFS(Лист2!$E:$E, Лист2!$A:$A, $A93, Лист2!$B:$B, $B93)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SUMIFS(Лист2!$C:$C, Лист2!$A:$A, $A94, Лист2!$B:$B, $B94)</f>
        <v>19</v>
      </c>
      <c r="F94" s="7">
        <f>SUMIFS(Лист2!$D:$D, Лист2!$A:$A, $A94, Лист2!$B:$B, $B94)</f>
        <v>1497</v>
      </c>
      <c r="G94" s="7">
        <f>SUMIFS(Лист2!$E:$E, Лист2!$A:$A, $A94, Лист2!$B:$B, $B94)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5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SUMIFS(Лист2!$C:$C, Лист2!$A:$A, $A95, Лист2!$B:$B, $B95)</f>
        <v>19</v>
      </c>
      <c r="F95" s="7">
        <f>SUMIFS(Лист2!$D:$D, Лист2!$A:$A, $A95, Лист2!$B:$B, $B95)</f>
        <v>1649</v>
      </c>
      <c r="G95" s="7">
        <f>SUMIFS(Лист2!$E:$E, Лист2!$A:$A, $A95, Лист2!$B:$B, $B95)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SUMIFS(Лист2!$C:$C, Лист2!$A:$A, $A96, Лист2!$B:$B, $B96)</f>
        <v>19</v>
      </c>
      <c r="F96" s="7">
        <f>SUMIFS(Лист2!$D:$D, Лист2!$A:$A, $A96, Лист2!$B:$B, $B96)</f>
        <v>1949</v>
      </c>
      <c r="G96" s="7">
        <f>SUMIFS(Лист2!$E:$E, Лист2!$A:$A, $A96, Лист2!$B:$B, $B96)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5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SUMIFS(Лист2!$C:$C, Лист2!$A:$A, $A97, Лист2!$B:$B, $B97)</f>
        <v>19</v>
      </c>
      <c r="F97" s="7">
        <f>SUMIFS(Лист2!$D:$D, Лист2!$A:$A, $A97, Лист2!$B:$B, $B97)</f>
        <v>1889</v>
      </c>
      <c r="G97" s="7">
        <f>SUMIFS(Лист2!$E:$E, Лист2!$A:$A, $A97, Лист2!$B:$B, $B97)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SUMIFS(Лист2!$C:$C, Лист2!$A:$A, $A98, Лист2!$B:$B, $B98)</f>
        <v>19</v>
      </c>
      <c r="F98" s="7">
        <f>SUMIFS(Лист2!$D:$D, Лист2!$A:$A, $A98, Лист2!$B:$B, $B98)</f>
        <v>1417</v>
      </c>
      <c r="G98" s="7">
        <f>SUMIFS(Лист2!$E:$E, Лист2!$A:$A, $A98, Лист2!$B:$B, $B98)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5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SUMIFS(Лист2!$C:$C, Лист2!$A:$A, $A99, Лист2!$B:$B, $B99)</f>
        <v>17</v>
      </c>
      <c r="F99" s="7">
        <f>SUMIFS(Лист2!$D:$D, Лист2!$A:$A, $A99, Лист2!$B:$B, $B99)</f>
        <v>1439</v>
      </c>
      <c r="G99" s="7">
        <f>SUMIFS(Лист2!$E:$E, Лист2!$A:$A, $A99, Лист2!$B:$B, $B99)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SUMIFS(Лист2!$C:$C, Лист2!$A:$A, $A100, Лист2!$B:$B, $B100)</f>
        <v>19</v>
      </c>
      <c r="F100" s="7">
        <f>SUMIFS(Лист2!$D:$D, Лист2!$A:$A, $A100, Лист2!$B:$B, $B100)</f>
        <v>1625</v>
      </c>
      <c r="G100" s="7">
        <f>SUMIFS(Лист2!$E:$E, Лист2!$A:$A, $A100, Лист2!$B:$B, $B100)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SUMIFS(Лист2!$C:$C, Лист2!$A:$A, $A101, Лист2!$B:$B, $B101)</f>
        <v>19</v>
      </c>
      <c r="F101" s="7">
        <f>SUMIFS(Лист2!$D:$D, Лист2!$A:$A, $A101, Лист2!$B:$B, $B101)</f>
        <v>1402</v>
      </c>
      <c r="G101" s="7">
        <f>SUMIFS(Лист2!$E:$E, Лист2!$A:$A, $A101, Лист2!$B:$B, $B101)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SUMIFS(Лист2!$C:$C, Лист2!$A:$A, $A102, Лист2!$B:$B, $B102)</f>
        <v>19</v>
      </c>
      <c r="F102" s="7">
        <f>SUMIFS(Лист2!$D:$D, Лист2!$A:$A, $A102, Лист2!$B:$B, $B102)</f>
        <v>1499</v>
      </c>
      <c r="G102" s="7">
        <f>SUMIFS(Лист2!$E:$E, Лист2!$A:$A, $A102, Лист2!$B:$B, $B102)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SUMIFS(Лист2!$C:$C, Лист2!$A:$A, $A103, Лист2!$B:$B, $B103)</f>
        <v>20</v>
      </c>
      <c r="F103" s="7">
        <f>SUMIFS(Лист2!$D:$D, Лист2!$A:$A, $A103, Лист2!$B:$B, $B103)</f>
        <v>2266</v>
      </c>
      <c r="G103" s="7">
        <f>SUMIFS(Лист2!$E:$E, Лист2!$A:$A, $A103, Лист2!$B:$B, $B103)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SUMIFS(Лист2!$C:$C, Лист2!$A:$A, $A104, Лист2!$B:$B, $B104)</f>
        <v>20</v>
      </c>
      <c r="F104" s="7">
        <f>SUMIFS(Лист2!$D:$D, Лист2!$A:$A, $A104, Лист2!$B:$B, $B104)</f>
        <v>2011</v>
      </c>
      <c r="G104" s="7">
        <f>SUMIFS(Лист2!$E:$E, Лист2!$A:$A, $A104, Лист2!$B:$B, $B104)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SUMIFS(Лист2!$C:$C, Лист2!$A:$A, $A105, Лист2!$B:$B, $B105)</f>
        <v>19</v>
      </c>
      <c r="F105" s="7">
        <f>SUMIFS(Лист2!$D:$D, Лист2!$A:$A, $A105, Лист2!$B:$B, $B105)</f>
        <v>1499</v>
      </c>
      <c r="G105" s="7">
        <f>SUMIFS(Лист2!$E:$E, Лист2!$A:$A, $A105, Лист2!$B:$B, $B105)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SUMIFS(Лист2!$C:$C, Лист2!$A:$A, $A106, Лист2!$B:$B, $B106)</f>
        <v>19</v>
      </c>
      <c r="F106" s="7">
        <f>SUMIFS(Лист2!$D:$D, Лист2!$A:$A, $A106, Лист2!$B:$B, $B106)</f>
        <v>1848</v>
      </c>
      <c r="G106" s="7">
        <f>SUMIFS(Лист2!$E:$E, Лист2!$A:$A, $A106, Лист2!$B:$B, $B106)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SUMIFS(Лист2!$C:$C, Лист2!$A:$A, $A107, Лист2!$B:$B, $B107)</f>
        <v>19</v>
      </c>
      <c r="F107" s="7">
        <f>SUMIFS(Лист2!$D:$D, Лист2!$A:$A, $A107, Лист2!$B:$B, $B107)</f>
        <v>1522</v>
      </c>
      <c r="G107" s="7">
        <f>SUMIFS(Лист2!$E:$E, Лист2!$A:$A, $A107, Лист2!$B:$B, $B107)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SUMIFS(Лист2!$C:$C, Лист2!$A:$A, $A108, Лист2!$B:$B, $B108)</f>
        <v>19</v>
      </c>
      <c r="F108" s="7">
        <f>SUMIFS(Лист2!$D:$D, Лист2!$A:$A, $A108, Лист2!$B:$B, $B108)</f>
        <v>1530</v>
      </c>
      <c r="G108" s="7">
        <f>SUMIFS(Лист2!$E:$E, Лист2!$A:$A, $A108, Лист2!$B:$B, $B108)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SUMIFS(Лист2!$C:$C, Лист2!$A:$A, $A109, Лист2!$B:$B, $B109)</f>
        <v>20</v>
      </c>
      <c r="F109" s="7">
        <f>SUMIFS(Лист2!$D:$D, Лист2!$A:$A, $A109, Лист2!$B:$B, $B109)</f>
        <v>2015</v>
      </c>
      <c r="G109" s="7">
        <f>SUMIFS(Лист2!$E:$E, Лист2!$A:$A, $A109, Лист2!$B:$B, $B109)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SUMIFS(Лист2!$C:$C, Лист2!$A:$A, $A110, Лист2!$B:$B, $B110)</f>
        <v>20</v>
      </c>
      <c r="F110" s="7">
        <f>SUMIFS(Лист2!$D:$D, Лист2!$A:$A, $A110, Лист2!$B:$B, $B110)</f>
        <v>2060</v>
      </c>
      <c r="G110" s="7">
        <f>SUMIFS(Лист2!$E:$E, Лист2!$A:$A, $A110, Лист2!$B:$B, $B110)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SUMIFS(Лист2!$C:$C, Лист2!$A:$A, $A111, Лист2!$B:$B, $B111)</f>
        <v>20</v>
      </c>
      <c r="F111" s="7">
        <f>SUMIFS(Лист2!$D:$D, Лист2!$A:$A, $A111, Лист2!$B:$B, $B111)</f>
        <v>2451</v>
      </c>
      <c r="G111" s="7">
        <f>SUMIFS(Лист2!$E:$E, Лист2!$A:$A, $A111, Лист2!$B:$B, $B111)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SUMIFS(Лист2!$C:$C, Лист2!$A:$A, $A112, Лист2!$B:$B, $B112)</f>
        <v>20</v>
      </c>
      <c r="F112" s="7">
        <f>SUMIFS(Лист2!$D:$D, Лист2!$A:$A, $A112, Лист2!$B:$B, $B112)</f>
        <v>2088</v>
      </c>
      <c r="G112" s="7">
        <f>SUMIFS(Лист2!$E:$E, Лист2!$A:$A, $A112, Лист2!$B:$B, $B112)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SUMIFS(Лист2!$C:$C, Лист2!$A:$A, $A113, Лист2!$B:$B, $B113)</f>
        <v>129</v>
      </c>
      <c r="F113" s="7">
        <f>SUMIFS(Лист2!$D:$D, Лист2!$A:$A, $A113, Лист2!$B:$B, $B113)</f>
        <v>17914</v>
      </c>
      <c r="G113" s="7">
        <f>SUMIFS(Лист2!$E:$E, Лист2!$A:$A, $A113, Лист2!$B:$B, $B113)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SUMIFS(Лист2!$C:$C, Лист2!$A:$A, $A114, Лист2!$B:$B, $B114)</f>
        <v>129</v>
      </c>
      <c r="F114" s="7">
        <f>SUMIFS(Лист2!$D:$D, Лист2!$A:$A, $A114, Лист2!$B:$B, $B114)</f>
        <v>16191</v>
      </c>
      <c r="G114" s="7">
        <f>SUMIFS(Лист2!$E:$E, Лист2!$A:$A, $A114, Лист2!$B:$B, $B114)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SUMIFS(Лист2!$C:$C, Лист2!$A:$A, $A115, Лист2!$B:$B, $B115)</f>
        <v>129</v>
      </c>
      <c r="F115" s="7">
        <f>SUMIFS(Лист2!$D:$D, Лист2!$A:$A, $A115, Лист2!$B:$B, $B115)</f>
        <v>15744</v>
      </c>
      <c r="G115" s="7">
        <f>SUMIFS(Лист2!$E:$E, Лист2!$A:$A, $A115, Лист2!$B:$B, $B115)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SUMIFS(Лист2!$C:$C, Лист2!$A:$A, $A116, Лист2!$B:$B, $B116)</f>
        <v>129</v>
      </c>
      <c r="F116" s="7">
        <f>SUMIFS(Лист2!$D:$D, Лист2!$A:$A, $A116, Лист2!$B:$B, $B116)</f>
        <v>16420</v>
      </c>
      <c r="G116" s="7">
        <f>SUMIFS(Лист2!$E:$E, Лист2!$A:$A, $A116, Лист2!$B:$B, $B116)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SUMIFS(Лист2!$C:$C, Лист2!$A:$A, $A117, Лист2!$B:$B, $B117)</f>
        <v>129</v>
      </c>
      <c r="F117" s="7">
        <f>SUMIFS(Лист2!$D:$D, Лист2!$A:$A, $A117, Лист2!$B:$B, $B117)</f>
        <v>16525</v>
      </c>
      <c r="G117" s="7">
        <f>SUMIFS(Лист2!$E:$E, Лист2!$A:$A, $A117, Лист2!$B:$B, $B117)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SUMIFS(Лист2!$C:$C, Лист2!$A:$A, $A118, Лист2!$B:$B, $B118)</f>
        <v>128</v>
      </c>
      <c r="F118" s="7">
        <f>SUMIFS(Лист2!$D:$D, Лист2!$A:$A, $A118, Лист2!$B:$B, $B118)</f>
        <v>17368</v>
      </c>
      <c r="G118" s="7">
        <f>SUMIFS(Лист2!$E:$E, Лист2!$A:$A, $A118, Лист2!$B:$B, $B118)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SUMIFS(Лист2!$C:$C, Лист2!$A:$A, $A119, Лист2!$B:$B, $B119)</f>
        <v>129</v>
      </c>
      <c r="F119" s="7">
        <f>SUMIFS(Лист2!$D:$D, Лист2!$A:$A, $A119, Лист2!$B:$B, $B119)</f>
        <v>14009</v>
      </c>
      <c r="G119" s="7">
        <f>SUMIFS(Лист2!$E:$E, Лист2!$A:$A, $A119, Лист2!$B:$B, $B119)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SUMIFS(Лист2!$C:$C, Лист2!$A:$A, $A120, Лист2!$B:$B, $B120)</f>
        <v>129</v>
      </c>
      <c r="F120" s="7">
        <f>SUMIFS(Лист2!$D:$D, Лист2!$A:$A, $A120, Лист2!$B:$B, $B120)</f>
        <v>16459</v>
      </c>
      <c r="G120" s="7">
        <f>SUMIFS(Лист2!$E:$E, Лист2!$A:$A, $A120, Лист2!$B:$B, $B120)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SUMIFS(Лист2!$C:$C, Лист2!$A:$A, $A121, Лист2!$B:$B, $B121)</f>
        <v>129</v>
      </c>
      <c r="F121" s="7">
        <f>SUMIFS(Лист2!$D:$D, Лист2!$A:$A, $A121, Лист2!$B:$B, $B121)</f>
        <v>17002</v>
      </c>
      <c r="G121" s="7">
        <f>SUMIFS(Лист2!$E:$E, Лист2!$A:$A, $A121, Лист2!$B:$B, $B121)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SUMIFS(Лист2!$C:$C, Лист2!$A:$A, $A122, Лист2!$B:$B, $B122)</f>
        <v>129</v>
      </c>
      <c r="F122" s="7">
        <f>SUMIFS(Лист2!$D:$D, Лист2!$A:$A, $A122, Лист2!$B:$B, $B122)</f>
        <v>16387</v>
      </c>
      <c r="G122" s="7">
        <f>SUMIFS(Лист2!$E:$E, Лист2!$A:$A, $A122, Лист2!$B:$B, $B122)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SUMIFS(Лист2!$C:$C, Лист2!$A:$A, $A123, Лист2!$B:$B, $B123)</f>
        <v>129</v>
      </c>
      <c r="F123" s="7">
        <f>SUMIFS(Лист2!$D:$D, Лист2!$A:$A, $A123, Лист2!$B:$B, $B123)</f>
        <v>16373</v>
      </c>
      <c r="G123" s="7">
        <f>SUMIFS(Лист2!$E:$E, Лист2!$A:$A, $A123, Лист2!$B:$B, $B123)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SUMIFS(Лист2!$C:$C, Лист2!$A:$A, $A124, Лист2!$B:$B, $B124)</f>
        <v>129</v>
      </c>
      <c r="F124" s="7">
        <f>SUMIFS(Лист2!$D:$D, Лист2!$A:$A, $A124, Лист2!$B:$B, $B124)</f>
        <v>17095</v>
      </c>
      <c r="G124" s="7">
        <f>SUMIFS(Лист2!$E:$E, Лист2!$A:$A, $A124, Лист2!$B:$B, $B124)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SUMIFS(Лист2!$C:$C, Лист2!$A:$A, $A125, Лист2!$B:$B, $B125)</f>
        <v>129</v>
      </c>
      <c r="F125" s="7">
        <f>SUMIFS(Лист2!$D:$D, Лист2!$A:$A, $A125, Лист2!$B:$B, $B125)</f>
        <v>15665</v>
      </c>
      <c r="G125" s="7">
        <f>SUMIFS(Лист2!$E:$E, Лист2!$A:$A, $A125, Лист2!$B:$B, $B125)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SUMIFS(Лист2!$C:$C, Лист2!$A:$A, $A126, Лист2!$B:$B, $B126)</f>
        <v>128</v>
      </c>
      <c r="F126" s="7">
        <f>SUMIFS(Лист2!$D:$D, Лист2!$A:$A, $A126, Лист2!$B:$B, $B126)</f>
        <v>16450</v>
      </c>
      <c r="G126" s="7">
        <f>SUMIFS(Лист2!$E:$E, Лист2!$A:$A, $A126, Лист2!$B:$B, $B126)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SUMIFS(Лист2!$C:$C, Лист2!$A:$A, $A127, Лист2!$B:$B, $B127)</f>
        <v>129</v>
      </c>
      <c r="F127" s="7">
        <f>SUMIFS(Лист2!$D:$D, Лист2!$A:$A, $A127, Лист2!$B:$B, $B127)</f>
        <v>15304</v>
      </c>
      <c r="G127" s="7">
        <f>SUMIFS(Лист2!$E:$E, Лист2!$A:$A, $A127, Лист2!$B:$B, $B127)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SUMIFS(Лист2!$C:$C, Лист2!$A:$A, $A128, Лист2!$B:$B, $B128)</f>
        <v>129</v>
      </c>
      <c r="F128" s="7">
        <f>SUMIFS(Лист2!$D:$D, Лист2!$A:$A, $A128, Лист2!$B:$B, $B128)</f>
        <v>15778</v>
      </c>
      <c r="G128" s="7">
        <f>SUMIFS(Лист2!$E:$E, Лист2!$A:$A, $A128, Лист2!$B:$B, $B128)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SUMIFS(Лист2!$C:$C, Лист2!$A:$A, $A129, Лист2!$B:$B, $B129)</f>
        <v>129</v>
      </c>
      <c r="F129" s="7">
        <f>SUMIFS(Лист2!$D:$D, Лист2!$A:$A, $A129, Лист2!$B:$B, $B129)</f>
        <v>16376</v>
      </c>
      <c r="G129" s="7">
        <f>SUMIFS(Лист2!$E:$E, Лист2!$A:$A, $A129, Лист2!$B:$B, $B129)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SUMIFS(Лист2!$C:$C, Лист2!$A:$A, $A130, Лист2!$B:$B, $B130)</f>
        <v>129</v>
      </c>
      <c r="F130" s="7">
        <f>SUMIFS(Лист2!$D:$D, Лист2!$A:$A, $A130, Лист2!$B:$B, $B130)</f>
        <v>19856</v>
      </c>
      <c r="G130" s="7">
        <f>SUMIFS(Лист2!$E:$E, Лист2!$A:$A, $A130, Лист2!$B:$B, $B130)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SUMIFS(Лист2!$C:$C, Лист2!$A:$A, $A131, Лист2!$B:$B, $B131)</f>
        <v>129</v>
      </c>
      <c r="F131" s="7">
        <f>SUMIFS(Лист2!$D:$D, Лист2!$A:$A, $A131, Лист2!$B:$B, $B131)</f>
        <v>15822</v>
      </c>
      <c r="G131" s="7">
        <f>SUMIFS(Лист2!$E:$E, Лист2!$A:$A, $A131, Лист2!$B:$B, $B131)</f>
        <v>14753</v>
      </c>
      <c r="H131">
        <f t="shared" ref="H131:H194" si="4">IFERROR(D131/E131, 0)</f>
        <v>210588.47674418605</v>
      </c>
      <c r="I131">
        <f t="shared" ref="I131:I194" si="5">WEEKNUM(A131, 2)</f>
        <v>22</v>
      </c>
    </row>
    <row r="132" spans="1:9" ht="14.25" customHeight="1" x14ac:dyDescent="0.3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SUMIFS(Лист2!$C:$C, Лист2!$A:$A, $A132, Лист2!$B:$B, $B132)</f>
        <v>129</v>
      </c>
      <c r="F132" s="7">
        <f>SUMIFS(Лист2!$D:$D, Лист2!$A:$A, $A132, Лист2!$B:$B, $B132)</f>
        <v>18042</v>
      </c>
      <c r="G132" s="7">
        <f>SUMIFS(Лист2!$E:$E, Лист2!$A:$A, $A132, Лист2!$B:$B, $B132)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SUMIFS(Лист2!$C:$C, Лист2!$A:$A, $A133, Лист2!$B:$B, $B133)</f>
        <v>129</v>
      </c>
      <c r="F133" s="7">
        <f>SUMIFS(Лист2!$D:$D, Лист2!$A:$A, $A133, Лист2!$B:$B, $B133)</f>
        <v>16437</v>
      </c>
      <c r="G133" s="7">
        <f>SUMIFS(Лист2!$E:$E, Лист2!$A:$A, $A133, Лист2!$B:$B, $B133)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SUMIFS(Лист2!$C:$C, Лист2!$A:$A, $A134, Лист2!$B:$B, $B134)</f>
        <v>129</v>
      </c>
      <c r="F134" s="7">
        <f>SUMIFS(Лист2!$D:$D, Лист2!$A:$A, $A134, Лист2!$B:$B, $B134)</f>
        <v>20452</v>
      </c>
      <c r="G134" s="7">
        <f>SUMIFS(Лист2!$E:$E, Лист2!$A:$A, $A134, Лист2!$B:$B, $B134)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SUMIFS(Лист2!$C:$C, Лист2!$A:$A, $A135, Лист2!$B:$B, $B135)</f>
        <v>129</v>
      </c>
      <c r="F135" s="7">
        <f>SUMIFS(Лист2!$D:$D, Лист2!$A:$A, $A135, Лист2!$B:$B, $B135)</f>
        <v>14582</v>
      </c>
      <c r="G135" s="7">
        <f>SUMIFS(Лист2!$E:$E, Лист2!$A:$A, $A135, Лист2!$B:$B, $B135)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SUMIFS(Лист2!$C:$C, Лист2!$A:$A, $A136, Лист2!$B:$B, $B136)</f>
        <v>129</v>
      </c>
      <c r="F136" s="7">
        <f>SUMIFS(Лист2!$D:$D, Лист2!$A:$A, $A136, Лист2!$B:$B, $B136)</f>
        <v>16432</v>
      </c>
      <c r="G136" s="7">
        <f>SUMIFS(Лист2!$E:$E, Лист2!$A:$A, $A136, Лист2!$B:$B, $B136)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SUMIFS(Лист2!$C:$C, Лист2!$A:$A, $A137, Лист2!$B:$B, $B137)</f>
        <v>125</v>
      </c>
      <c r="F137" s="7">
        <f>SUMIFS(Лист2!$D:$D, Лист2!$A:$A, $A137, Лист2!$B:$B, $B137)</f>
        <v>22291</v>
      </c>
      <c r="G137" s="7">
        <f>SUMIFS(Лист2!$E:$E, Лист2!$A:$A, $A137, Лист2!$B:$B, $B137)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SUMIFS(Лист2!$C:$C, Лист2!$A:$A, $A138, Лист2!$B:$B, $B138)</f>
        <v>125</v>
      </c>
      <c r="F138" s="7">
        <f>SUMIFS(Лист2!$D:$D, Лист2!$A:$A, $A138, Лист2!$B:$B, $B138)</f>
        <v>20771</v>
      </c>
      <c r="G138" s="7">
        <f>SUMIFS(Лист2!$E:$E, Лист2!$A:$A, $A138, Лист2!$B:$B, $B138)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SUMIFS(Лист2!$C:$C, Лист2!$A:$A, $A139, Лист2!$B:$B, $B139)</f>
        <v>125</v>
      </c>
      <c r="F139" s="7">
        <f>SUMIFS(Лист2!$D:$D, Лист2!$A:$A, $A139, Лист2!$B:$B, $B139)</f>
        <v>20079</v>
      </c>
      <c r="G139" s="7">
        <f>SUMIFS(Лист2!$E:$E, Лист2!$A:$A, $A139, Лист2!$B:$B, $B139)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SUMIFS(Лист2!$C:$C, Лист2!$A:$A, $A140, Лист2!$B:$B, $B140)</f>
        <v>125</v>
      </c>
      <c r="F140" s="7">
        <f>SUMIFS(Лист2!$D:$D, Лист2!$A:$A, $A140, Лист2!$B:$B, $B140)</f>
        <v>20132</v>
      </c>
      <c r="G140" s="7">
        <f>SUMIFS(Лист2!$E:$E, Лист2!$A:$A, $A140, Лист2!$B:$B, $B140)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SUMIFS(Лист2!$C:$C, Лист2!$A:$A, $A141, Лист2!$B:$B, $B141)</f>
        <v>125</v>
      </c>
      <c r="F141" s="7">
        <f>SUMIFS(Лист2!$D:$D, Лист2!$A:$A, $A141, Лист2!$B:$B, $B141)</f>
        <v>20495</v>
      </c>
      <c r="G141" s="7">
        <f>SUMIFS(Лист2!$E:$E, Лист2!$A:$A, $A141, Лист2!$B:$B, $B141)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SUMIFS(Лист2!$C:$C, Лист2!$A:$A, $A142, Лист2!$B:$B, $B142)</f>
        <v>125</v>
      </c>
      <c r="F142" s="7">
        <f>SUMIFS(Лист2!$D:$D, Лист2!$A:$A, $A142, Лист2!$B:$B, $B142)</f>
        <v>21863</v>
      </c>
      <c r="G142" s="7">
        <f>SUMIFS(Лист2!$E:$E, Лист2!$A:$A, $A142, Лист2!$B:$B, $B142)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SUMIFS(Лист2!$C:$C, Лист2!$A:$A, $A143, Лист2!$B:$B, $B143)</f>
        <v>125</v>
      </c>
      <c r="F143" s="7">
        <f>SUMIFS(Лист2!$D:$D, Лист2!$A:$A, $A143, Лист2!$B:$B, $B143)</f>
        <v>16932</v>
      </c>
      <c r="G143" s="7">
        <f>SUMIFS(Лист2!$E:$E, Лист2!$A:$A, $A143, Лист2!$B:$B, $B143)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SUMIFS(Лист2!$C:$C, Лист2!$A:$A, $A144, Лист2!$B:$B, $B144)</f>
        <v>124</v>
      </c>
      <c r="F144" s="7">
        <f>SUMIFS(Лист2!$D:$D, Лист2!$A:$A, $A144, Лист2!$B:$B, $B144)</f>
        <v>21153</v>
      </c>
      <c r="G144" s="7">
        <f>SUMIFS(Лист2!$E:$E, Лист2!$A:$A, $A144, Лист2!$B:$B, $B144)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SUMIFS(Лист2!$C:$C, Лист2!$A:$A, $A145, Лист2!$B:$B, $B145)</f>
        <v>125</v>
      </c>
      <c r="F145" s="7">
        <f>SUMIFS(Лист2!$D:$D, Лист2!$A:$A, $A145, Лист2!$B:$B, $B145)</f>
        <v>20602</v>
      </c>
      <c r="G145" s="7">
        <f>SUMIFS(Лист2!$E:$E, Лист2!$A:$A, $A145, Лист2!$B:$B, $B145)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SUMIFS(Лист2!$C:$C, Лист2!$A:$A, $A146, Лист2!$B:$B, $B146)</f>
        <v>125</v>
      </c>
      <c r="F146" s="7">
        <f>SUMIFS(Лист2!$D:$D, Лист2!$A:$A, $A146, Лист2!$B:$B, $B146)</f>
        <v>21106</v>
      </c>
      <c r="G146" s="7">
        <f>SUMIFS(Лист2!$E:$E, Лист2!$A:$A, $A146, Лист2!$B:$B, $B146)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SUMIFS(Лист2!$C:$C, Лист2!$A:$A, $A147, Лист2!$B:$B, $B147)</f>
        <v>125</v>
      </c>
      <c r="F147" s="7">
        <f>SUMIFS(Лист2!$D:$D, Лист2!$A:$A, $A147, Лист2!$B:$B, $B147)</f>
        <v>20911</v>
      </c>
      <c r="G147" s="7">
        <f>SUMIFS(Лист2!$E:$E, Лист2!$A:$A, $A147, Лист2!$B:$B, $B147)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SUMIFS(Лист2!$C:$C, Лист2!$A:$A, $A148, Лист2!$B:$B, $B148)</f>
        <v>125</v>
      </c>
      <c r="F148" s="7">
        <f>SUMIFS(Лист2!$D:$D, Лист2!$A:$A, $A148, Лист2!$B:$B, $B148)</f>
        <v>21674</v>
      </c>
      <c r="G148" s="7">
        <f>SUMIFS(Лист2!$E:$E, Лист2!$A:$A, $A148, Лист2!$B:$B, $B148)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SUMIFS(Лист2!$C:$C, Лист2!$A:$A, $A149, Лист2!$B:$B, $B149)</f>
        <v>125</v>
      </c>
      <c r="F149" s="7">
        <f>SUMIFS(Лист2!$D:$D, Лист2!$A:$A, $A149, Лист2!$B:$B, $B149)</f>
        <v>18944</v>
      </c>
      <c r="G149" s="7">
        <f>SUMIFS(Лист2!$E:$E, Лист2!$A:$A, $A149, Лист2!$B:$B, $B149)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SUMIFS(Лист2!$C:$C, Лист2!$A:$A, $A150, Лист2!$B:$B, $B150)</f>
        <v>125</v>
      </c>
      <c r="F150" s="7">
        <f>SUMIFS(Лист2!$D:$D, Лист2!$A:$A, $A150, Лист2!$B:$B, $B150)</f>
        <v>20914</v>
      </c>
      <c r="G150" s="7">
        <f>SUMIFS(Лист2!$E:$E, Лист2!$A:$A, $A150, Лист2!$B:$B, $B150)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SUMIFS(Лист2!$C:$C, Лист2!$A:$A, $A151, Лист2!$B:$B, $B151)</f>
        <v>125</v>
      </c>
      <c r="F151" s="7">
        <f>SUMIFS(Лист2!$D:$D, Лист2!$A:$A, $A151, Лист2!$B:$B, $B151)</f>
        <v>19965</v>
      </c>
      <c r="G151" s="7">
        <f>SUMIFS(Лист2!$E:$E, Лист2!$A:$A, $A151, Лист2!$B:$B, $B151)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SUMIFS(Лист2!$C:$C, Лист2!$A:$A, $A152, Лист2!$B:$B, $B152)</f>
        <v>129</v>
      </c>
      <c r="F152" s="7">
        <f>SUMIFS(Лист2!$D:$D, Лист2!$A:$A, $A152, Лист2!$B:$B, $B152)</f>
        <v>17235</v>
      </c>
      <c r="G152" s="7">
        <f>SUMIFS(Лист2!$E:$E, Лист2!$A:$A, $A152, Лист2!$B:$B, $B152)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SUMIFS(Лист2!$C:$C, Лист2!$A:$A, $A153, Лист2!$B:$B, $B153)</f>
        <v>125</v>
      </c>
      <c r="F153" s="7">
        <f>SUMIFS(Лист2!$D:$D, Лист2!$A:$A, $A153, Лист2!$B:$B, $B153)</f>
        <v>18861</v>
      </c>
      <c r="G153" s="7">
        <f>SUMIFS(Лист2!$E:$E, Лист2!$A:$A, $A153, Лист2!$B:$B, $B153)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SUMIFS(Лист2!$C:$C, Лист2!$A:$A, $A154, Лист2!$B:$B, $B154)</f>
        <v>129</v>
      </c>
      <c r="F154" s="7">
        <f>SUMIFS(Лист2!$D:$D, Лист2!$A:$A, $A154, Лист2!$B:$B, $B154)</f>
        <v>20243</v>
      </c>
      <c r="G154" s="7">
        <f>SUMIFS(Лист2!$E:$E, Лист2!$A:$A, $A154, Лист2!$B:$B, $B154)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SUMIFS(Лист2!$C:$C, Лист2!$A:$A, $A155, Лист2!$B:$B, $B155)</f>
        <v>125</v>
      </c>
      <c r="F155" s="7">
        <f>SUMIFS(Лист2!$D:$D, Лист2!$A:$A, $A155, Лист2!$B:$B, $B155)</f>
        <v>20218</v>
      </c>
      <c r="G155" s="7">
        <f>SUMIFS(Лист2!$E:$E, Лист2!$A:$A, $A155, Лист2!$B:$B, $B155)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SUMIFS(Лист2!$C:$C, Лист2!$A:$A, $A156, Лист2!$B:$B, $B156)</f>
        <v>125</v>
      </c>
      <c r="F156" s="7">
        <f>SUMIFS(Лист2!$D:$D, Лист2!$A:$A, $A156, Лист2!$B:$B, $B156)</f>
        <v>24574</v>
      </c>
      <c r="G156" s="7">
        <f>SUMIFS(Лист2!$E:$E, Лист2!$A:$A, $A156, Лист2!$B:$B, $B156)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SUMIFS(Лист2!$C:$C, Лист2!$A:$A, $A157, Лист2!$B:$B, $B157)</f>
        <v>129</v>
      </c>
      <c r="F157" s="7">
        <f>SUMIFS(Лист2!$D:$D, Лист2!$A:$A, $A157, Лист2!$B:$B, $B157)</f>
        <v>16453</v>
      </c>
      <c r="G157" s="7">
        <f>SUMIFS(Лист2!$E:$E, Лист2!$A:$A, $A157, Лист2!$B:$B, $B157)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SUMIFS(Лист2!$C:$C, Лист2!$A:$A, $A158, Лист2!$B:$B, $B158)</f>
        <v>124</v>
      </c>
      <c r="F158" s="7">
        <f>SUMIFS(Лист2!$D:$D, Лист2!$A:$A, $A158, Лист2!$B:$B, $B158)</f>
        <v>20358</v>
      </c>
      <c r="G158" s="7">
        <f>SUMIFS(Лист2!$E:$E, Лист2!$A:$A, $A158, Лист2!$B:$B, $B158)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SUMIFS(Лист2!$C:$C, Лист2!$A:$A, $A159, Лист2!$B:$B, $B159)</f>
        <v>125</v>
      </c>
      <c r="F159" s="7">
        <f>SUMIFS(Лист2!$D:$D, Лист2!$A:$A, $A159, Лист2!$B:$B, $B159)</f>
        <v>22368</v>
      </c>
      <c r="G159" s="7">
        <f>SUMIFS(Лист2!$E:$E, Лист2!$A:$A, $A159, Лист2!$B:$B, $B159)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SUMIFS(Лист2!$C:$C, Лист2!$A:$A, $A160, Лист2!$B:$B, $B160)</f>
        <v>125</v>
      </c>
      <c r="F160" s="7">
        <f>SUMIFS(Лист2!$D:$D, Лист2!$A:$A, $A160, Лист2!$B:$B, $B160)</f>
        <v>20368</v>
      </c>
      <c r="G160" s="7">
        <f>SUMIFS(Лист2!$E:$E, Лист2!$A:$A, $A160, Лист2!$B:$B, $B160)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SUMIFS(Лист2!$C:$C, Лист2!$A:$A, $A161, Лист2!$B:$B, $B161)</f>
        <v>125</v>
      </c>
      <c r="F161" s="7">
        <f>SUMIFS(Лист2!$D:$D, Лист2!$A:$A, $A161, Лист2!$B:$B, $B161)</f>
        <v>24620</v>
      </c>
      <c r="G161" s="7">
        <f>SUMIFS(Лист2!$E:$E, Лист2!$A:$A, $A161, Лист2!$B:$B, $B161)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SUMIFS(Лист2!$C:$C, Лист2!$A:$A, $A162, Лист2!$B:$B, $B162)</f>
        <v>125</v>
      </c>
      <c r="F162" s="7">
        <f>SUMIFS(Лист2!$D:$D, Лист2!$A:$A, $A162, Лист2!$B:$B, $B162)</f>
        <v>18014</v>
      </c>
      <c r="G162" s="7">
        <f>SUMIFS(Лист2!$E:$E, Лист2!$A:$A, $A162, Лист2!$B:$B, $B162)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SUMIFS(Лист2!$C:$C, Лист2!$A:$A, $A163, Лист2!$B:$B, $B163)</f>
        <v>125</v>
      </c>
      <c r="F163" s="7">
        <f>SUMIFS(Лист2!$D:$D, Лист2!$A:$A, $A163, Лист2!$B:$B, $B163)</f>
        <v>21004</v>
      </c>
      <c r="G163" s="7">
        <f>SUMIFS(Лист2!$E:$E, Лист2!$A:$A, $A163, Лист2!$B:$B, $B163)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SUMIFS(Лист2!$C:$C, Лист2!$A:$A, $A164, Лист2!$B:$B, $B164)</f>
        <v>36</v>
      </c>
      <c r="F164" s="7">
        <f>SUMIFS(Лист2!$D:$D, Лист2!$A:$A, $A164, Лист2!$B:$B, $B164)</f>
        <v>5286</v>
      </c>
      <c r="G164" s="7">
        <f>SUMIFS(Лист2!$E:$E, Лист2!$A:$A, $A164, Лист2!$B:$B, $B164)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SUMIFS(Лист2!$C:$C, Лист2!$A:$A, $A165, Лист2!$B:$B, $B165)</f>
        <v>36</v>
      </c>
      <c r="F165" s="7">
        <f>SUMIFS(Лист2!$D:$D, Лист2!$A:$A, $A165, Лист2!$B:$B, $B165)</f>
        <v>5094</v>
      </c>
      <c r="G165" s="7">
        <f>SUMIFS(Лист2!$E:$E, Лист2!$A:$A, $A165, Лист2!$B:$B, $B165)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SUMIFS(Лист2!$C:$C, Лист2!$A:$A, $A166, Лист2!$B:$B, $B166)</f>
        <v>36</v>
      </c>
      <c r="F166" s="7">
        <f>SUMIFS(Лист2!$D:$D, Лист2!$A:$A, $A166, Лист2!$B:$B, $B166)</f>
        <v>4918</v>
      </c>
      <c r="G166" s="7">
        <f>SUMIFS(Лист2!$E:$E, Лист2!$A:$A, $A166, Лист2!$B:$B, $B166)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SUMIFS(Лист2!$C:$C, Лист2!$A:$A, $A167, Лист2!$B:$B, $B167)</f>
        <v>36</v>
      </c>
      <c r="F167" s="7">
        <f>SUMIFS(Лист2!$D:$D, Лист2!$A:$A, $A167, Лист2!$B:$B, $B167)</f>
        <v>5413</v>
      </c>
      <c r="G167" s="7">
        <f>SUMIFS(Лист2!$E:$E, Лист2!$A:$A, $A167, Лист2!$B:$B, $B167)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SUMIFS(Лист2!$C:$C, Лист2!$A:$A, $A168, Лист2!$B:$B, $B168)</f>
        <v>36</v>
      </c>
      <c r="F168" s="7">
        <f>SUMIFS(Лист2!$D:$D, Лист2!$A:$A, $A168, Лист2!$B:$B, $B168)</f>
        <v>4508</v>
      </c>
      <c r="G168" s="7">
        <f>SUMIFS(Лист2!$E:$E, Лист2!$A:$A, $A168, Лист2!$B:$B, $B168)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SUMIFS(Лист2!$C:$C, Лист2!$A:$A, $A169, Лист2!$B:$B, $B169)</f>
        <v>36</v>
      </c>
      <c r="F169" s="7">
        <f>SUMIFS(Лист2!$D:$D, Лист2!$A:$A, $A169, Лист2!$B:$B, $B169)</f>
        <v>4937</v>
      </c>
      <c r="G169" s="7">
        <f>SUMIFS(Лист2!$E:$E, Лист2!$A:$A, $A169, Лист2!$B:$B, $B169)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SUMIFS(Лист2!$C:$C, Лист2!$A:$A, $A170, Лист2!$B:$B, $B170)</f>
        <v>36</v>
      </c>
      <c r="F170" s="7">
        <f>SUMIFS(Лист2!$D:$D, Лист2!$A:$A, $A170, Лист2!$B:$B, $B170)</f>
        <v>3442</v>
      </c>
      <c r="G170" s="7">
        <f>SUMIFS(Лист2!$E:$E, Лист2!$A:$A, $A170, Лист2!$B:$B, $B170)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SUMIFS(Лист2!$C:$C, Лист2!$A:$A, $A171, Лист2!$B:$B, $B171)</f>
        <v>36</v>
      </c>
      <c r="F171" s="7">
        <f>SUMIFS(Лист2!$D:$D, Лист2!$A:$A, $A171, Лист2!$B:$B, $B171)</f>
        <v>4770</v>
      </c>
      <c r="G171" s="7">
        <f>SUMIFS(Лист2!$E:$E, Лист2!$A:$A, $A171, Лист2!$B:$B, $B171)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SUMIFS(Лист2!$C:$C, Лист2!$A:$A, $A172, Лист2!$B:$B, $B172)</f>
        <v>36</v>
      </c>
      <c r="F172" s="7">
        <f>SUMIFS(Лист2!$D:$D, Лист2!$A:$A, $A172, Лист2!$B:$B, $B172)</f>
        <v>5457</v>
      </c>
      <c r="G172" s="7">
        <f>SUMIFS(Лист2!$E:$E, Лист2!$A:$A, $A172, Лист2!$B:$B, $B172)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SUMIFS(Лист2!$C:$C, Лист2!$A:$A, $A173, Лист2!$B:$B, $B173)</f>
        <v>36</v>
      </c>
      <c r="F173" s="7">
        <f>SUMIFS(Лист2!$D:$D, Лист2!$A:$A, $A173, Лист2!$B:$B, $B173)</f>
        <v>4418</v>
      </c>
      <c r="G173" s="7">
        <f>SUMIFS(Лист2!$E:$E, Лист2!$A:$A, $A173, Лист2!$B:$B, $B173)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SUMIFS(Лист2!$C:$C, Лист2!$A:$A, $A174, Лист2!$B:$B, $B174)</f>
        <v>36</v>
      </c>
      <c r="F174" s="7">
        <f>SUMIFS(Лист2!$D:$D, Лист2!$A:$A, $A174, Лист2!$B:$B, $B174)</f>
        <v>4816</v>
      </c>
      <c r="G174" s="7">
        <f>SUMIFS(Лист2!$E:$E, Лист2!$A:$A, $A174, Лист2!$B:$B, $B174)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SUMIFS(Лист2!$C:$C, Лист2!$A:$A, $A175, Лист2!$B:$B, $B175)</f>
        <v>36</v>
      </c>
      <c r="F175" s="7">
        <f>SUMIFS(Лист2!$D:$D, Лист2!$A:$A, $A175, Лист2!$B:$B, $B175)</f>
        <v>5914</v>
      </c>
      <c r="G175" s="7">
        <f>SUMIFS(Лист2!$E:$E, Лист2!$A:$A, $A175, Лист2!$B:$B, $B175)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SUMIFS(Лист2!$C:$C, Лист2!$A:$A, $A176, Лист2!$B:$B, $B176)</f>
        <v>36</v>
      </c>
      <c r="F176" s="7">
        <f>SUMIFS(Лист2!$D:$D, Лист2!$A:$A, $A176, Лист2!$B:$B, $B176)</f>
        <v>4575</v>
      </c>
      <c r="G176" s="7">
        <f>SUMIFS(Лист2!$E:$E, Лист2!$A:$A, $A176, Лист2!$B:$B, $B176)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SUMIFS(Лист2!$C:$C, Лист2!$A:$A, $A177, Лист2!$B:$B, $B177)</f>
        <v>36</v>
      </c>
      <c r="F177" s="7">
        <f>SUMIFS(Лист2!$D:$D, Лист2!$A:$A, $A177, Лист2!$B:$B, $B177)</f>
        <v>4923</v>
      </c>
      <c r="G177" s="7">
        <f>SUMIFS(Лист2!$E:$E, Лист2!$A:$A, $A177, Лист2!$B:$B, $B177)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SUMIFS(Лист2!$C:$C, Лист2!$A:$A, $A178, Лист2!$B:$B, $B178)</f>
        <v>36</v>
      </c>
      <c r="F178" s="7">
        <f>SUMIFS(Лист2!$D:$D, Лист2!$A:$A, $A178, Лист2!$B:$B, $B178)</f>
        <v>4967</v>
      </c>
      <c r="G178" s="7">
        <f>SUMIFS(Лист2!$E:$E, Лист2!$A:$A, $A178, Лист2!$B:$B, $B178)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SUMIFS(Лист2!$C:$C, Лист2!$A:$A, $A179, Лист2!$B:$B, $B179)</f>
        <v>124</v>
      </c>
      <c r="F179" s="7">
        <f>SUMIFS(Лист2!$D:$D, Лист2!$A:$A, $A179, Лист2!$B:$B, $B179)</f>
        <v>21392</v>
      </c>
      <c r="G179" s="7">
        <f>SUMIFS(Лист2!$E:$E, Лист2!$A:$A, $A179, Лист2!$B:$B, $B179)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SUMIFS(Лист2!$C:$C, Лист2!$A:$A, $A180, Лист2!$B:$B, $B180)</f>
        <v>36</v>
      </c>
      <c r="F180" s="7">
        <f>SUMIFS(Лист2!$D:$D, Лист2!$A:$A, $A180, Лист2!$B:$B, $B180)</f>
        <v>4751</v>
      </c>
      <c r="G180" s="7">
        <f>SUMIFS(Лист2!$E:$E, Лист2!$A:$A, $A180, Лист2!$B:$B, $B180)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SUMIFS(Лист2!$C:$C, Лист2!$A:$A, $A181, Лист2!$B:$B, $B181)</f>
        <v>124</v>
      </c>
      <c r="F181" s="7">
        <f>SUMIFS(Лист2!$D:$D, Лист2!$A:$A, $A181, Лист2!$B:$B, $B181)</f>
        <v>24325</v>
      </c>
      <c r="G181" s="7">
        <f>SUMIFS(Лист2!$E:$E, Лист2!$A:$A, $A181, Лист2!$B:$B, $B181)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SUMIFS(Лист2!$C:$C, Лист2!$A:$A, $A182, Лист2!$B:$B, $B182)</f>
        <v>36</v>
      </c>
      <c r="F182" s="7">
        <f>SUMIFS(Лист2!$D:$D, Лист2!$A:$A, $A182, Лист2!$B:$B, $B182)</f>
        <v>4384</v>
      </c>
      <c r="G182" s="7">
        <f>SUMIFS(Лист2!$E:$E, Лист2!$A:$A, $A182, Лист2!$B:$B, $B182)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SUMIFS(Лист2!$C:$C, Лист2!$A:$A, $A183, Лист2!$B:$B, $B183)</f>
        <v>36</v>
      </c>
      <c r="F183" s="7">
        <f>SUMIFS(Лист2!$D:$D, Лист2!$A:$A, $A183, Лист2!$B:$B, $B183)</f>
        <v>5651</v>
      </c>
      <c r="G183" s="7">
        <f>SUMIFS(Лист2!$E:$E, Лист2!$A:$A, $A183, Лист2!$B:$B, $B183)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SUMIFS(Лист2!$C:$C, Лист2!$A:$A, $A184, Лист2!$B:$B, $B184)</f>
        <v>124</v>
      </c>
      <c r="F184" s="7">
        <f>SUMIFS(Лист2!$D:$D, Лист2!$A:$A, $A184, Лист2!$B:$B, $B184)</f>
        <v>20868</v>
      </c>
      <c r="G184" s="7">
        <f>SUMIFS(Лист2!$E:$E, Лист2!$A:$A, $A184, Лист2!$B:$B, $B184)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SUMIFS(Лист2!$C:$C, Лист2!$A:$A, $A185, Лист2!$B:$B, $B185)</f>
        <v>36</v>
      </c>
      <c r="F185" s="7">
        <f>SUMIFS(Лист2!$D:$D, Лист2!$A:$A, $A185, Лист2!$B:$B, $B185)</f>
        <v>4641</v>
      </c>
      <c r="G185" s="7">
        <f>SUMIFS(Лист2!$E:$E, Лист2!$A:$A, $A185, Лист2!$B:$B, $B185)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SUMIFS(Лист2!$C:$C, Лист2!$A:$A, $A186, Лист2!$B:$B, $B186)</f>
        <v>36</v>
      </c>
      <c r="F186" s="7">
        <f>SUMIFS(Лист2!$D:$D, Лист2!$A:$A, $A186, Лист2!$B:$B, $B186)</f>
        <v>5143</v>
      </c>
      <c r="G186" s="7">
        <f>SUMIFS(Лист2!$E:$E, Лист2!$A:$A, $A186, Лист2!$B:$B, $B186)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SUMIFS(Лист2!$C:$C, Лист2!$A:$A, $A187, Лист2!$B:$B, $B187)</f>
        <v>36</v>
      </c>
      <c r="F187" s="7">
        <f>SUMIFS(Лист2!$D:$D, Лист2!$A:$A, $A187, Лист2!$B:$B, $B187)</f>
        <v>5746</v>
      </c>
      <c r="G187" s="7">
        <f>SUMIFS(Лист2!$E:$E, Лист2!$A:$A, $A187, Лист2!$B:$B, $B187)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SUMIFS(Лист2!$C:$C, Лист2!$A:$A, $A188, Лист2!$B:$B, $B188)</f>
        <v>36</v>
      </c>
      <c r="F188" s="7">
        <f>SUMIFS(Лист2!$D:$D, Лист2!$A:$A, $A188, Лист2!$B:$B, $B188)</f>
        <v>4199</v>
      </c>
      <c r="G188" s="7">
        <f>SUMIFS(Лист2!$E:$E, Лист2!$A:$A, $A188, Лист2!$B:$B, $B188)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SUMIFS(Лист2!$C:$C, Лист2!$A:$A, $A189, Лист2!$B:$B, $B189)</f>
        <v>36</v>
      </c>
      <c r="F189" s="7">
        <f>SUMIFS(Лист2!$D:$D, Лист2!$A:$A, $A189, Лист2!$B:$B, $B189)</f>
        <v>4826</v>
      </c>
      <c r="G189" s="7">
        <f>SUMIFS(Лист2!$E:$E, Лист2!$A:$A, $A189, Лист2!$B:$B, $B189)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SUMIFS(Лист2!$C:$C, Лист2!$A:$A, $A190, Лист2!$B:$B, $B190)</f>
        <v>36</v>
      </c>
      <c r="F190" s="7">
        <f>SUMIFS(Лист2!$D:$D, Лист2!$A:$A, $A190, Лист2!$B:$B, $B190)</f>
        <v>4915</v>
      </c>
      <c r="G190" s="7">
        <f>SUMIFS(Лист2!$E:$E, Лист2!$A:$A, $A190, Лист2!$B:$B, $B190)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SUMIFS(Лист2!$C:$C, Лист2!$A:$A, $A191, Лист2!$B:$B, $B191)</f>
        <v>21</v>
      </c>
      <c r="F191" s="7">
        <f>SUMIFS(Лист2!$D:$D, Лист2!$A:$A, $A191, Лист2!$B:$B, $B191)</f>
        <v>2427</v>
      </c>
      <c r="G191" s="7">
        <f>SUMIFS(Лист2!$E:$E, Лист2!$A:$A, $A191, Лист2!$B:$B, $B191)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SUMIFS(Лист2!$C:$C, Лист2!$A:$A, $A192, Лист2!$B:$B, $B192)</f>
        <v>21</v>
      </c>
      <c r="F192" s="7">
        <f>SUMIFS(Лист2!$D:$D, Лист2!$A:$A, $A192, Лист2!$B:$B, $B192)</f>
        <v>2245</v>
      </c>
      <c r="G192" s="7">
        <f>SUMIFS(Лист2!$E:$E, Лист2!$A:$A, $A192, Лист2!$B:$B, $B192)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SUMIFS(Лист2!$C:$C, Лист2!$A:$A, $A193, Лист2!$B:$B, $B193)</f>
        <v>21</v>
      </c>
      <c r="F193" s="7">
        <f>SUMIFS(Лист2!$D:$D, Лист2!$A:$A, $A193, Лист2!$B:$B, $B193)</f>
        <v>2054</v>
      </c>
      <c r="G193" s="7">
        <f>SUMIFS(Лист2!$E:$E, Лист2!$A:$A, $A193, Лист2!$B:$B, $B193)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SUMIFS(Лист2!$C:$C, Лист2!$A:$A, $A194, Лист2!$B:$B, $B194)</f>
        <v>21</v>
      </c>
      <c r="F194" s="7">
        <f>SUMIFS(Лист2!$D:$D, Лист2!$A:$A, $A194, Лист2!$B:$B, $B194)</f>
        <v>1891</v>
      </c>
      <c r="G194" s="7">
        <f>SUMIFS(Лист2!$E:$E, Лист2!$A:$A, $A194, Лист2!$B:$B, $B194)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SUMIFS(Лист2!$C:$C, Лист2!$A:$A, $A195, Лист2!$B:$B, $B195)</f>
        <v>20</v>
      </c>
      <c r="F195" s="7">
        <f>SUMIFS(Лист2!$D:$D, Лист2!$A:$A, $A195, Лист2!$B:$B, $B195)</f>
        <v>1804</v>
      </c>
      <c r="G195" s="7">
        <f>SUMIFS(Лист2!$E:$E, Лист2!$A:$A, $A195, Лист2!$B:$B, $B195)</f>
        <v>1638</v>
      </c>
      <c r="H195">
        <f t="shared" ref="H195:H258" si="6">IFERROR(D195/E195, 0)</f>
        <v>140892.67499999999</v>
      </c>
      <c r="I195">
        <f t="shared" ref="I195:I258" si="7">WEEKNUM(A195, 2)</f>
        <v>19</v>
      </c>
    </row>
    <row r="196" spans="1:9" ht="14.25" customHeight="1" x14ac:dyDescent="0.3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SUMIFS(Лист2!$C:$C, Лист2!$A:$A, $A196, Лист2!$B:$B, $B196)</f>
        <v>19</v>
      </c>
      <c r="F196" s="7">
        <f>SUMIFS(Лист2!$D:$D, Лист2!$A:$A, $A196, Лист2!$B:$B, $B196)</f>
        <v>1676</v>
      </c>
      <c r="G196" s="7">
        <f>SUMIFS(Лист2!$E:$E, Лист2!$A:$A, $A196, Лист2!$B:$B, $B196)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SUMIFS(Лист2!$C:$C, Лист2!$A:$A, $A197, Лист2!$B:$B, $B197)</f>
        <v>20</v>
      </c>
      <c r="F197" s="7">
        <f>SUMIFS(Лист2!$D:$D, Лист2!$A:$A, $A197, Лист2!$B:$B, $B197)</f>
        <v>1613</v>
      </c>
      <c r="G197" s="7">
        <f>SUMIFS(Лист2!$E:$E, Лист2!$A:$A, $A197, Лист2!$B:$B, $B197)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SUMIFS(Лист2!$C:$C, Лист2!$A:$A, $A198, Лист2!$B:$B, $B198)</f>
        <v>21</v>
      </c>
      <c r="F198" s="7">
        <f>SUMIFS(Лист2!$D:$D, Лист2!$A:$A, $A198, Лист2!$B:$B, $B198)</f>
        <v>2418</v>
      </c>
      <c r="G198" s="7">
        <f>SUMIFS(Лист2!$E:$E, Лист2!$A:$A, $A198, Лист2!$B:$B, $B198)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SUMIFS(Лист2!$C:$C, Лист2!$A:$A, $A199, Лист2!$B:$B, $B199)</f>
        <v>20</v>
      </c>
      <c r="F199" s="7">
        <f>SUMIFS(Лист2!$D:$D, Лист2!$A:$A, $A199, Лист2!$B:$B, $B199)</f>
        <v>2468</v>
      </c>
      <c r="G199" s="7">
        <f>SUMIFS(Лист2!$E:$E, Лист2!$A:$A, $A199, Лист2!$B:$B, $B199)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SUMIFS(Лист2!$C:$C, Лист2!$A:$A, $A200, Лист2!$B:$B, $B200)</f>
        <v>21</v>
      </c>
      <c r="F200" s="7">
        <f>SUMIFS(Лист2!$D:$D, Лист2!$A:$A, $A200, Лист2!$B:$B, $B200)</f>
        <v>1926</v>
      </c>
      <c r="G200" s="7">
        <f>SUMIFS(Лист2!$E:$E, Лист2!$A:$A, $A200, Лист2!$B:$B, $B200)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SUMIFS(Лист2!$C:$C, Лист2!$A:$A, $A201, Лист2!$B:$B, $B201)</f>
        <v>21</v>
      </c>
      <c r="F201" s="7">
        <f>SUMIFS(Лист2!$D:$D, Лист2!$A:$A, $A201, Лист2!$B:$B, $B201)</f>
        <v>2335</v>
      </c>
      <c r="G201" s="7">
        <f>SUMIFS(Лист2!$E:$E, Лист2!$A:$A, $A201, Лист2!$B:$B, $B201)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SUMIFS(Лист2!$C:$C, Лист2!$A:$A, $A202, Лист2!$B:$B, $B202)</f>
        <v>21</v>
      </c>
      <c r="F202" s="7">
        <f>SUMIFS(Лист2!$D:$D, Лист2!$A:$A, $A202, Лист2!$B:$B, $B202)</f>
        <v>2410</v>
      </c>
      <c r="G202" s="7">
        <f>SUMIFS(Лист2!$E:$E, Лист2!$A:$A, $A202, Лист2!$B:$B, $B202)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SUMIFS(Лист2!$C:$C, Лист2!$A:$A, $A203, Лист2!$B:$B, $B203)</f>
        <v>20</v>
      </c>
      <c r="F203" s="7">
        <f>SUMIFS(Лист2!$D:$D, Лист2!$A:$A, $A203, Лист2!$B:$B, $B203)</f>
        <v>1757</v>
      </c>
      <c r="G203" s="7">
        <f>SUMIFS(Лист2!$E:$E, Лист2!$A:$A, $A203, Лист2!$B:$B, $B203)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SUMIFS(Лист2!$C:$C, Лист2!$A:$A, $A204, Лист2!$B:$B, $B204)</f>
        <v>19</v>
      </c>
      <c r="F204" s="7">
        <f>SUMIFS(Лист2!$D:$D, Лист2!$A:$A, $A204, Лист2!$B:$B, $B204)</f>
        <v>1846</v>
      </c>
      <c r="G204" s="7">
        <f>SUMIFS(Лист2!$E:$E, Лист2!$A:$A, $A204, Лист2!$B:$B, $B204)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SUMIFS(Лист2!$C:$C, Лист2!$A:$A, $A205, Лист2!$B:$B, $B205)</f>
        <v>21</v>
      </c>
      <c r="F205" s="7">
        <f>SUMIFS(Лист2!$D:$D, Лист2!$A:$A, $A205, Лист2!$B:$B, $B205)</f>
        <v>2061</v>
      </c>
      <c r="G205" s="7">
        <f>SUMIFS(Лист2!$E:$E, Лист2!$A:$A, $A205, Лист2!$B:$B, $B205)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SUMIFS(Лист2!$C:$C, Лист2!$A:$A, $A206, Лист2!$B:$B, $B206)</f>
        <v>37</v>
      </c>
      <c r="F206" s="7">
        <f>SUMIFS(Лист2!$D:$D, Лист2!$A:$A, $A206, Лист2!$B:$B, $B206)</f>
        <v>5215</v>
      </c>
      <c r="G206" s="7">
        <f>SUMIFS(Лист2!$E:$E, Лист2!$A:$A, $A206, Лист2!$B:$B, $B206)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SUMIFS(Лист2!$C:$C, Лист2!$A:$A, $A207, Лист2!$B:$B, $B207)</f>
        <v>20</v>
      </c>
      <c r="F207" s="7">
        <f>SUMIFS(Лист2!$D:$D, Лист2!$A:$A, $A207, Лист2!$B:$B, $B207)</f>
        <v>1716</v>
      </c>
      <c r="G207" s="7">
        <f>SUMIFS(Лист2!$E:$E, Лист2!$A:$A, $A207, Лист2!$B:$B, $B207)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SUMIFS(Лист2!$C:$C, Лист2!$A:$A, $A208, Лист2!$B:$B, $B208)</f>
        <v>37</v>
      </c>
      <c r="F208" s="7">
        <f>SUMIFS(Лист2!$D:$D, Лист2!$A:$A, $A208, Лист2!$B:$B, $B208)</f>
        <v>6645</v>
      </c>
      <c r="G208" s="7">
        <f>SUMIFS(Лист2!$E:$E, Лист2!$A:$A, $A208, Лист2!$B:$B, $B208)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SUMIFS(Лист2!$C:$C, Лист2!$A:$A, $A209, Лист2!$B:$B, $B209)</f>
        <v>20</v>
      </c>
      <c r="F209" s="7">
        <f>SUMIFS(Лист2!$D:$D, Лист2!$A:$A, $A209, Лист2!$B:$B, $B209)</f>
        <v>1747</v>
      </c>
      <c r="G209" s="7">
        <f>SUMIFS(Лист2!$E:$E, Лист2!$A:$A, $A209, Лист2!$B:$B, $B209)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SUMIFS(Лист2!$C:$C, Лист2!$A:$A, $A210, Лист2!$B:$B, $B210)</f>
        <v>21</v>
      </c>
      <c r="F210" s="7">
        <f>SUMIFS(Лист2!$D:$D, Лист2!$A:$A, $A210, Лист2!$B:$B, $B210)</f>
        <v>2460</v>
      </c>
      <c r="G210" s="7">
        <f>SUMIFS(Лист2!$E:$E, Лист2!$A:$A, $A210, Лист2!$B:$B, $B210)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SUMIFS(Лист2!$C:$C, Лист2!$A:$A, $A211, Лист2!$B:$B, $B211)</f>
        <v>37</v>
      </c>
      <c r="F211" s="7">
        <f>SUMIFS(Лист2!$D:$D, Лист2!$A:$A, $A211, Лист2!$B:$B, $B211)</f>
        <v>4840</v>
      </c>
      <c r="G211" s="7">
        <f>SUMIFS(Лист2!$E:$E, Лист2!$A:$A, $A211, Лист2!$B:$B, $B211)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SUMIFS(Лист2!$C:$C, Лист2!$A:$A, $A212, Лист2!$B:$B, $B212)</f>
        <v>21</v>
      </c>
      <c r="F212" s="7">
        <f>SUMIFS(Лист2!$D:$D, Лист2!$A:$A, $A212, Лист2!$B:$B, $B212)</f>
        <v>2330</v>
      </c>
      <c r="G212" s="7">
        <f>SUMIFS(Лист2!$E:$E, Лист2!$A:$A, $A212, Лист2!$B:$B, $B212)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SUMIFS(Лист2!$C:$C, Лист2!$A:$A, $A213, Лист2!$B:$B, $B213)</f>
        <v>20</v>
      </c>
      <c r="F213" s="7">
        <f>SUMIFS(Лист2!$D:$D, Лист2!$A:$A, $A213, Лист2!$B:$B, $B213)</f>
        <v>1756</v>
      </c>
      <c r="G213" s="7">
        <f>SUMIFS(Лист2!$E:$E, Лист2!$A:$A, $A213, Лист2!$B:$B, $B213)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SUMIFS(Лист2!$C:$C, Лист2!$A:$A, $A214, Лист2!$B:$B, $B214)</f>
        <v>21</v>
      </c>
      <c r="F214" s="7">
        <f>SUMIFS(Лист2!$D:$D, Лист2!$A:$A, $A214, Лист2!$B:$B, $B214)</f>
        <v>2120</v>
      </c>
      <c r="G214" s="7">
        <f>SUMIFS(Лист2!$E:$E, Лист2!$A:$A, $A214, Лист2!$B:$B, $B214)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SUMIFS(Лист2!$C:$C, Лист2!$A:$A, $A215, Лист2!$B:$B, $B215)</f>
        <v>21</v>
      </c>
      <c r="F215" s="7">
        <f>SUMIFS(Лист2!$D:$D, Лист2!$A:$A, $A215, Лист2!$B:$B, $B215)</f>
        <v>1957</v>
      </c>
      <c r="G215" s="7">
        <f>SUMIFS(Лист2!$E:$E, Лист2!$A:$A, $A215, Лист2!$B:$B, $B215)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SUMIFS(Лист2!$C:$C, Лист2!$A:$A, $A216, Лист2!$B:$B, $B216)</f>
        <v>21</v>
      </c>
      <c r="F216" s="7">
        <f>SUMIFS(Лист2!$D:$D, Лист2!$A:$A, $A216, Лист2!$B:$B, $B216)</f>
        <v>1879</v>
      </c>
      <c r="G216" s="7">
        <f>SUMIFS(Лист2!$E:$E, Лист2!$A:$A, $A216, Лист2!$B:$B, $B216)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SUMIFS(Лист2!$C:$C, Лист2!$A:$A, $A217, Лист2!$B:$B, $B217)</f>
        <v>21</v>
      </c>
      <c r="F217" s="7">
        <f>SUMIFS(Лист2!$D:$D, Лист2!$A:$A, $A217, Лист2!$B:$B, $B217)</f>
        <v>2254</v>
      </c>
      <c r="G217" s="7">
        <f>SUMIFS(Лист2!$E:$E, Лист2!$A:$A, $A217, Лист2!$B:$B, $B217)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SUMIFS(Лист2!$C:$C, Лист2!$A:$A, $A218, Лист2!$B:$B, $B218)</f>
        <v>23</v>
      </c>
      <c r="F218" s="7">
        <f>SUMIFS(Лист2!$D:$D, Лист2!$A:$A, $A218, Лист2!$B:$B, $B218)</f>
        <v>2522</v>
      </c>
      <c r="G218" s="7">
        <f>SUMIFS(Лист2!$E:$E, Лист2!$A:$A, $A218, Лист2!$B:$B, $B218)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SUMIFS(Лист2!$C:$C, Лист2!$A:$A, $A219, Лист2!$B:$B, $B219)</f>
        <v>22</v>
      </c>
      <c r="F219" s="7">
        <f>SUMIFS(Лист2!$D:$D, Лист2!$A:$A, $A219, Лист2!$B:$B, $B219)</f>
        <v>2793</v>
      </c>
      <c r="G219" s="7">
        <f>SUMIFS(Лист2!$E:$E, Лист2!$A:$A, $A219, Лист2!$B:$B, $B219)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SUMIFS(Лист2!$C:$C, Лист2!$A:$A, $A220, Лист2!$B:$B, $B220)</f>
        <v>22</v>
      </c>
      <c r="F220" s="7">
        <f>SUMIFS(Лист2!$D:$D, Лист2!$A:$A, $A220, Лист2!$B:$B, $B220)</f>
        <v>2454</v>
      </c>
      <c r="G220" s="7">
        <f>SUMIFS(Лист2!$E:$E, Лист2!$A:$A, $A220, Лист2!$B:$B, $B220)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SUMIFS(Лист2!$C:$C, Лист2!$A:$A, $A221, Лист2!$B:$B, $B221)</f>
        <v>15</v>
      </c>
      <c r="F221" s="7">
        <f>SUMIFS(Лист2!$D:$D, Лист2!$A:$A, $A221, Лист2!$B:$B, $B221)</f>
        <v>1111</v>
      </c>
      <c r="G221" s="7">
        <f>SUMIFS(Лист2!$E:$E, Лист2!$A:$A, $A221, Лист2!$B:$B, $B221)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SUMIFS(Лист2!$C:$C, Лист2!$A:$A, $A222, Лист2!$B:$B, $B222)</f>
        <v>16</v>
      </c>
      <c r="F222" s="7">
        <f>SUMIFS(Лист2!$D:$D, Лист2!$A:$A, $A222, Лист2!$B:$B, $B222)</f>
        <v>1012</v>
      </c>
      <c r="G222" s="7">
        <f>SUMIFS(Лист2!$E:$E, Лист2!$A:$A, $A222, Лист2!$B:$B, $B222)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SUMIFS(Лист2!$C:$C, Лист2!$A:$A, $A223, Лист2!$B:$B, $B223)</f>
        <v>15</v>
      </c>
      <c r="F223" s="7">
        <f>SUMIFS(Лист2!$D:$D, Лист2!$A:$A, $A223, Лист2!$B:$B, $B223)</f>
        <v>971</v>
      </c>
      <c r="G223" s="7">
        <f>SUMIFS(Лист2!$E:$E, Лист2!$A:$A, $A223, Лист2!$B:$B, $B223)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SUMIFS(Лист2!$C:$C, Лист2!$A:$A, $A224, Лист2!$B:$B, $B224)</f>
        <v>15</v>
      </c>
      <c r="F224" s="7">
        <f>SUMIFS(Лист2!$D:$D, Лист2!$A:$A, $A224, Лист2!$B:$B, $B224)</f>
        <v>849</v>
      </c>
      <c r="G224" s="7">
        <f>SUMIFS(Лист2!$E:$E, Лист2!$A:$A, $A224, Лист2!$B:$B, $B224)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SUMIFS(Лист2!$C:$C, Лист2!$A:$A, $A225, Лист2!$B:$B, $B225)</f>
        <v>15</v>
      </c>
      <c r="F225" s="7">
        <f>SUMIFS(Лист2!$D:$D, Лист2!$A:$A, $A225, Лист2!$B:$B, $B225)</f>
        <v>750</v>
      </c>
      <c r="G225" s="7">
        <f>SUMIFS(Лист2!$E:$E, Лист2!$A:$A, $A225, Лист2!$B:$B, $B225)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SUMIFS(Лист2!$C:$C, Лист2!$A:$A, $A226, Лист2!$B:$B, $B226)</f>
        <v>15</v>
      </c>
      <c r="F226" s="7">
        <f>SUMIFS(Лист2!$D:$D, Лист2!$A:$A, $A226, Лист2!$B:$B, $B226)</f>
        <v>786</v>
      </c>
      <c r="G226" s="7">
        <f>SUMIFS(Лист2!$E:$E, Лист2!$A:$A, $A226, Лист2!$B:$B, $B226)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SUMIFS(Лист2!$C:$C, Лист2!$A:$A, $A227, Лист2!$B:$B, $B227)</f>
        <v>15</v>
      </c>
      <c r="F227" s="7">
        <f>SUMIFS(Лист2!$D:$D, Лист2!$A:$A, $A227, Лист2!$B:$B, $B227)</f>
        <v>751</v>
      </c>
      <c r="G227" s="7">
        <f>SUMIFS(Лист2!$E:$E, Лист2!$A:$A, $A227, Лист2!$B:$B, $B227)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SUMIFS(Лист2!$C:$C, Лист2!$A:$A, $A228, Лист2!$B:$B, $B228)</f>
        <v>17</v>
      </c>
      <c r="F228" s="7">
        <f>SUMIFS(Лист2!$D:$D, Лист2!$A:$A, $A228, Лист2!$B:$B, $B228)</f>
        <v>1140</v>
      </c>
      <c r="G228" s="7">
        <f>SUMIFS(Лист2!$E:$E, Лист2!$A:$A, $A228, Лист2!$B:$B, $B228)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SUMIFS(Лист2!$C:$C, Лист2!$A:$A, $A229, Лист2!$B:$B, $B229)</f>
        <v>15</v>
      </c>
      <c r="F229" s="7">
        <f>SUMIFS(Лист2!$D:$D, Лист2!$A:$A, $A229, Лист2!$B:$B, $B229)</f>
        <v>996</v>
      </c>
      <c r="G229" s="7">
        <f>SUMIFS(Лист2!$E:$E, Лист2!$A:$A, $A229, Лист2!$B:$B, $B229)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SUMIFS(Лист2!$C:$C, Лист2!$A:$A, $A230, Лист2!$B:$B, $B230)</f>
        <v>15</v>
      </c>
      <c r="F230" s="7">
        <f>SUMIFS(Лист2!$D:$D, Лист2!$A:$A, $A230, Лист2!$B:$B, $B230)</f>
        <v>845</v>
      </c>
      <c r="G230" s="7">
        <f>SUMIFS(Лист2!$E:$E, Лист2!$A:$A, $A230, Лист2!$B:$B, $B230)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SUMIFS(Лист2!$C:$C, Лист2!$A:$A, $A231, Лист2!$B:$B, $B231)</f>
        <v>17</v>
      </c>
      <c r="F231" s="7">
        <f>SUMIFS(Лист2!$D:$D, Лист2!$A:$A, $A231, Лист2!$B:$B, $B231)</f>
        <v>1045</v>
      </c>
      <c r="G231" s="7">
        <f>SUMIFS(Лист2!$E:$E, Лист2!$A:$A, $A231, Лист2!$B:$B, $B231)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SUMIFS(Лист2!$C:$C, Лист2!$A:$A, $A232, Лист2!$B:$B, $B232)</f>
        <v>16</v>
      </c>
      <c r="F232" s="7">
        <f>SUMIFS(Лист2!$D:$D, Лист2!$A:$A, $A232, Лист2!$B:$B, $B232)</f>
        <v>1050</v>
      </c>
      <c r="G232" s="7">
        <f>SUMIFS(Лист2!$E:$E, Лист2!$A:$A, $A232, Лист2!$B:$B, $B232)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SUMIFS(Лист2!$C:$C, Лист2!$A:$A, $A233, Лист2!$B:$B, $B233)</f>
        <v>15</v>
      </c>
      <c r="F233" s="7">
        <f>SUMIFS(Лист2!$D:$D, Лист2!$A:$A, $A233, Лист2!$B:$B, $B233)</f>
        <v>922</v>
      </c>
      <c r="G233" s="7">
        <f>SUMIFS(Лист2!$E:$E, Лист2!$A:$A, $A233, Лист2!$B:$B, $B233)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SUMIFS(Лист2!$C:$C, Лист2!$A:$A, $A234, Лист2!$B:$B, $B234)</f>
        <v>15</v>
      </c>
      <c r="F234" s="7">
        <f>SUMIFS(Лист2!$D:$D, Лист2!$A:$A, $A234, Лист2!$B:$B, $B234)</f>
        <v>780</v>
      </c>
      <c r="G234" s="7">
        <f>SUMIFS(Лист2!$E:$E, Лист2!$A:$A, $A234, Лист2!$B:$B, $B234)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SUMIFS(Лист2!$C:$C, Лист2!$A:$A, $A235, Лист2!$B:$B, $B235)</f>
        <v>15</v>
      </c>
      <c r="F235" s="7">
        <f>SUMIFS(Лист2!$D:$D, Лист2!$A:$A, $A235, Лист2!$B:$B, $B235)</f>
        <v>898</v>
      </c>
      <c r="G235" s="7">
        <f>SUMIFS(Лист2!$E:$E, Лист2!$A:$A, $A235, Лист2!$B:$B, $B235)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SUMIFS(Лист2!$C:$C, Лист2!$A:$A, $A236, Лист2!$B:$B, $B236)</f>
        <v>15</v>
      </c>
      <c r="F236" s="7">
        <f>SUMIFS(Лист2!$D:$D, Лист2!$A:$A, $A236, Лист2!$B:$B, $B236)</f>
        <v>784</v>
      </c>
      <c r="G236" s="7">
        <f>SUMIFS(Лист2!$E:$E, Лист2!$A:$A, $A236, Лист2!$B:$B, $B236)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SUMIFS(Лист2!$C:$C, Лист2!$A:$A, $A237, Лист2!$B:$B, $B237)</f>
        <v>15</v>
      </c>
      <c r="F237" s="7">
        <f>SUMIFS(Лист2!$D:$D, Лист2!$A:$A, $A237, Лист2!$B:$B, $B237)</f>
        <v>839</v>
      </c>
      <c r="G237" s="7">
        <f>SUMIFS(Лист2!$E:$E, Лист2!$A:$A, $A237, Лист2!$B:$B, $B237)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SUMIFS(Лист2!$C:$C, Лист2!$A:$A, $A238, Лист2!$B:$B, $B238)</f>
        <v>17</v>
      </c>
      <c r="F238" s="7">
        <f>SUMIFS(Лист2!$D:$D, Лист2!$A:$A, $A238, Лист2!$B:$B, $B238)</f>
        <v>1294</v>
      </c>
      <c r="G238" s="7">
        <f>SUMIFS(Лист2!$E:$E, Лист2!$A:$A, $A238, Лист2!$B:$B, $B238)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SUMIFS(Лист2!$C:$C, Лист2!$A:$A, $A239, Лист2!$B:$B, $B239)</f>
        <v>17</v>
      </c>
      <c r="F239" s="7">
        <f>SUMIFS(Лист2!$D:$D, Лист2!$A:$A, $A239, Лист2!$B:$B, $B239)</f>
        <v>1142</v>
      </c>
      <c r="G239" s="7">
        <f>SUMIFS(Лист2!$E:$E, Лист2!$A:$A, $A239, Лист2!$B:$B, $B239)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SUMIFS(Лист2!$C:$C, Лист2!$A:$A, $A240, Лист2!$B:$B, $B240)</f>
        <v>15</v>
      </c>
      <c r="F240" s="7">
        <f>SUMIFS(Лист2!$D:$D, Лист2!$A:$A, $A240, Лист2!$B:$B, $B240)</f>
        <v>791</v>
      </c>
      <c r="G240" s="7">
        <f>SUMIFS(Лист2!$E:$E, Лист2!$A:$A, $A240, Лист2!$B:$B, $B240)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SUMIFS(Лист2!$C:$C, Лист2!$A:$A, $A241, Лист2!$B:$B, $B241)</f>
        <v>15</v>
      </c>
      <c r="F241" s="7">
        <f>SUMIFS(Лист2!$D:$D, Лист2!$A:$A, $A241, Лист2!$B:$B, $B241)</f>
        <v>950</v>
      </c>
      <c r="G241" s="7">
        <f>SUMIFS(Лист2!$E:$E, Лист2!$A:$A, $A241, Лист2!$B:$B, $B241)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SUMIFS(Лист2!$C:$C, Лист2!$A:$A, $A242, Лист2!$B:$B, $B242)</f>
        <v>15</v>
      </c>
      <c r="F242" s="7">
        <f>SUMIFS(Лист2!$D:$D, Лист2!$A:$A, $A242, Лист2!$B:$B, $B242)</f>
        <v>879</v>
      </c>
      <c r="G242" s="7">
        <f>SUMIFS(Лист2!$E:$E, Лист2!$A:$A, $A242, Лист2!$B:$B, $B242)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SUMIFS(Лист2!$C:$C, Лист2!$A:$A, $A243, Лист2!$B:$B, $B243)</f>
        <v>15</v>
      </c>
      <c r="F243" s="7">
        <f>SUMIFS(Лист2!$D:$D, Лист2!$A:$A, $A243, Лист2!$B:$B, $B243)</f>
        <v>805</v>
      </c>
      <c r="G243" s="7">
        <f>SUMIFS(Лист2!$E:$E, Лист2!$A:$A, $A243, Лист2!$B:$B, $B243)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SUMIFS(Лист2!$C:$C, Лист2!$A:$A, $A244, Лист2!$B:$B, $B244)</f>
        <v>17</v>
      </c>
      <c r="F244" s="7">
        <f>SUMIFS(Лист2!$D:$D, Лист2!$A:$A, $A244, Лист2!$B:$B, $B244)</f>
        <v>1128</v>
      </c>
      <c r="G244" s="7">
        <f>SUMIFS(Лист2!$E:$E, Лист2!$A:$A, $A244, Лист2!$B:$B, $B244)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SUMIFS(Лист2!$C:$C, Лист2!$A:$A, $A245, Лист2!$B:$B, $B245)</f>
        <v>15</v>
      </c>
      <c r="F245" s="7">
        <f>SUMIFS(Лист2!$D:$D, Лист2!$A:$A, $A245, Лист2!$B:$B, $B245)</f>
        <v>747</v>
      </c>
      <c r="G245" s="7">
        <f>SUMIFS(Лист2!$E:$E, Лист2!$A:$A, $A245, Лист2!$B:$B, $B245)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SUMIFS(Лист2!$C:$C, Лист2!$A:$A, $A246, Лист2!$B:$B, $B246)</f>
        <v>15</v>
      </c>
      <c r="F246" s="7">
        <f>SUMIFS(Лист2!$D:$D, Лист2!$A:$A, $A246, Лист2!$B:$B, $B246)</f>
        <v>930</v>
      </c>
      <c r="G246" s="7">
        <f>SUMIFS(Лист2!$E:$E, Лист2!$A:$A, $A246, Лист2!$B:$B, $B246)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SUMIFS(Лист2!$C:$C, Лист2!$A:$A, $A247, Лист2!$B:$B, $B247)</f>
        <v>15</v>
      </c>
      <c r="F247" s="7">
        <f>SUMIFS(Лист2!$D:$D, Лист2!$A:$A, $A247, Лист2!$B:$B, $B247)</f>
        <v>692</v>
      </c>
      <c r="G247" s="7">
        <f>SUMIFS(Лист2!$E:$E, Лист2!$A:$A, $A247, Лист2!$B:$B, $B247)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SUMIFS(Лист2!$C:$C, Лист2!$A:$A, $A248, Лист2!$B:$B, $B248)</f>
        <v>15</v>
      </c>
      <c r="F248" s="7">
        <f>SUMIFS(Лист2!$D:$D, Лист2!$A:$A, $A248, Лист2!$B:$B, $B248)</f>
        <v>623</v>
      </c>
      <c r="G248" s="7">
        <f>SUMIFS(Лист2!$E:$E, Лист2!$A:$A, $A248, Лист2!$B:$B, $B248)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SUMIFS(Лист2!$C:$C, Лист2!$A:$A, $A249, Лист2!$B:$B, $B249)</f>
        <v>15</v>
      </c>
      <c r="F249" s="7">
        <f>SUMIFS(Лист2!$D:$D, Лист2!$A:$A, $A249, Лист2!$B:$B, $B249)</f>
        <v>390</v>
      </c>
      <c r="G249" s="7">
        <f>SUMIFS(Лист2!$E:$E, Лист2!$A:$A, $A249, Лист2!$B:$B, $B249)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SUMIFS(Лист2!$C:$C, Лист2!$A:$A, $A250, Лист2!$B:$B, $B250)</f>
        <v>18</v>
      </c>
      <c r="F250" s="7">
        <f>SUMIFS(Лист2!$D:$D, Лист2!$A:$A, $A250, Лист2!$B:$B, $B250)</f>
        <v>1599</v>
      </c>
      <c r="G250" s="7">
        <f>SUMIFS(Лист2!$E:$E, Лист2!$A:$A, $A250, Лист2!$B:$B, $B250)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SUMIFS(Лист2!$C:$C, Лист2!$A:$A, $A251, Лист2!$B:$B, $B251)</f>
        <v>15</v>
      </c>
      <c r="F251" s="7">
        <f>SUMIFS(Лист2!$D:$D, Лист2!$A:$A, $A251, Лист2!$B:$B, $B251)</f>
        <v>274</v>
      </c>
      <c r="G251" s="7">
        <f>SUMIFS(Лист2!$E:$E, Лист2!$A:$A, $A251, Лист2!$B:$B, $B251)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SUMIFS(Лист2!$C:$C, Лист2!$A:$A, $A252, Лист2!$B:$B, $B252)</f>
        <v>15</v>
      </c>
      <c r="F252" s="7">
        <f>SUMIFS(Лист2!$D:$D, Лист2!$A:$A, $A252, Лист2!$B:$B, $B252)</f>
        <v>812</v>
      </c>
      <c r="G252" s="7">
        <f>SUMIFS(Лист2!$E:$E, Лист2!$A:$A, $A252, Лист2!$B:$B, $B252)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SUMIFS(Лист2!$C:$C, Лист2!$A:$A, $A253, Лист2!$B:$B, $B253)</f>
        <v>15</v>
      </c>
      <c r="F253" s="7">
        <f>SUMIFS(Лист2!$D:$D, Лист2!$A:$A, $A253, Лист2!$B:$B, $B253)</f>
        <v>294</v>
      </c>
      <c r="G253" s="7">
        <f>SUMIFS(Лист2!$E:$E, Лист2!$A:$A, $A253, Лист2!$B:$B, $B253)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SUMIFS(Лист2!$C:$C, Лист2!$A:$A, $A254, Лист2!$B:$B, $B254)</f>
        <v>15</v>
      </c>
      <c r="F254" s="7">
        <f>SUMIFS(Лист2!$D:$D, Лист2!$A:$A, $A254, Лист2!$B:$B, $B254)</f>
        <v>624</v>
      </c>
      <c r="G254" s="7">
        <f>SUMIFS(Лист2!$E:$E, Лист2!$A:$A, $A254, Лист2!$B:$B, $B254)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SUMIFS(Лист2!$C:$C, Лист2!$A:$A, $A255, Лист2!$B:$B, $B255)</f>
        <v>15</v>
      </c>
      <c r="F255" s="7">
        <f>SUMIFS(Лист2!$D:$D, Лист2!$A:$A, $A255, Лист2!$B:$B, $B255)</f>
        <v>749</v>
      </c>
      <c r="G255" s="7">
        <f>SUMIFS(Лист2!$E:$E, Лист2!$A:$A, $A255, Лист2!$B:$B, $B255)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SUMIFS(Лист2!$C:$C, Лист2!$A:$A, $A256, Лист2!$B:$B, $B256)</f>
        <v>15</v>
      </c>
      <c r="F256" s="7">
        <f>SUMIFS(Лист2!$D:$D, Лист2!$A:$A, $A256, Лист2!$B:$B, $B256)</f>
        <v>760</v>
      </c>
      <c r="G256" s="7">
        <f>SUMIFS(Лист2!$E:$E, Лист2!$A:$A, $A256, Лист2!$B:$B, $B256)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5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SUMIFS(Лист2!$C:$C, Лист2!$A:$A, $A257, Лист2!$B:$B, $B257)</f>
        <v>15</v>
      </c>
      <c r="F257" s="7">
        <f>SUMIFS(Лист2!$D:$D, Лист2!$A:$A, $A257, Лист2!$B:$B, $B257)</f>
        <v>455</v>
      </c>
      <c r="G257" s="7">
        <f>SUMIFS(Лист2!$E:$E, Лист2!$A:$A, $A257, Лист2!$B:$B, $B257)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SUMIFS(Лист2!$C:$C, Лист2!$A:$A, $A258, Лист2!$B:$B, $B258)</f>
        <v>18</v>
      </c>
      <c r="F258" s="7">
        <f>SUMIFS(Лист2!$D:$D, Лист2!$A:$A, $A258, Лист2!$B:$B, $B258)</f>
        <v>1505</v>
      </c>
      <c r="G258" s="7">
        <f>SUMIFS(Лист2!$E:$E, Лист2!$A:$A, $A258, Лист2!$B:$B, $B258)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SUMIFS(Лист2!$C:$C, Лист2!$A:$A, $A259, Лист2!$B:$B, $B259)</f>
        <v>15</v>
      </c>
      <c r="F259" s="7">
        <f>SUMIFS(Лист2!$D:$D, Лист2!$A:$A, $A259, Лист2!$B:$B, $B259)</f>
        <v>599</v>
      </c>
      <c r="G259" s="7">
        <f>SUMIFS(Лист2!$E:$E, Лист2!$A:$A, $A259, Лист2!$B:$B, $B259)</f>
        <v>515</v>
      </c>
      <c r="H259">
        <f t="shared" ref="H259:H322" si="8">IFERROR(D259/E259, 0)</f>
        <v>63327.5</v>
      </c>
      <c r="I259">
        <f t="shared" ref="I259:I322" si="9">WEEKNUM(A259, 2)</f>
        <v>20</v>
      </c>
    </row>
    <row r="260" spans="1:9" ht="14.25" customHeight="1" x14ac:dyDescent="0.3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SUMIFS(Лист2!$C:$C, Лист2!$A:$A, $A260, Лист2!$B:$B, $B260)</f>
        <v>17</v>
      </c>
      <c r="F260" s="7">
        <f>SUMIFS(Лист2!$D:$D, Лист2!$A:$A, $A260, Лист2!$B:$B, $B260)</f>
        <v>1186</v>
      </c>
      <c r="G260" s="7">
        <f>SUMIFS(Лист2!$E:$E, Лист2!$A:$A, $A260, Лист2!$B:$B, $B260)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SUMIFS(Лист2!$C:$C, Лист2!$A:$A, $A261, Лист2!$B:$B, $B261)</f>
        <v>15</v>
      </c>
      <c r="F261" s="7">
        <f>SUMIFS(Лист2!$D:$D, Лист2!$A:$A, $A261, Лист2!$B:$B, $B261)</f>
        <v>455</v>
      </c>
      <c r="G261" s="7">
        <f>SUMIFS(Лист2!$E:$E, Лист2!$A:$A, $A261, Лист2!$B:$B, $B261)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SUMIFS(Лист2!$C:$C, Лист2!$A:$A, $A262, Лист2!$B:$B, $B262)</f>
        <v>17</v>
      </c>
      <c r="F262" s="7">
        <f>SUMIFS(Лист2!$D:$D, Лист2!$A:$A, $A262, Лист2!$B:$B, $B262)</f>
        <v>1697</v>
      </c>
      <c r="G262" s="7">
        <f>SUMIFS(Лист2!$E:$E, Лист2!$A:$A, $A262, Лист2!$B:$B, $B262)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SUMIFS(Лист2!$C:$C, Лист2!$A:$A, $A263, Лист2!$B:$B, $B263)</f>
        <v>15</v>
      </c>
      <c r="F263" s="7">
        <f>SUMIFS(Лист2!$D:$D, Лист2!$A:$A, $A263, Лист2!$B:$B, $B263)</f>
        <v>467</v>
      </c>
      <c r="G263" s="7">
        <f>SUMIFS(Лист2!$E:$E, Лист2!$A:$A, $A263, Лист2!$B:$B, $B263)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SUMIFS(Лист2!$C:$C, Лист2!$A:$A, $A264, Лист2!$B:$B, $B264)</f>
        <v>15</v>
      </c>
      <c r="F264" s="7">
        <f>SUMIFS(Лист2!$D:$D, Лист2!$A:$A, $A264, Лист2!$B:$B, $B264)</f>
        <v>840</v>
      </c>
      <c r="G264" s="7">
        <f>SUMIFS(Лист2!$E:$E, Лист2!$A:$A, $A264, Лист2!$B:$B, $B264)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SUMIFS(Лист2!$C:$C, Лист2!$A:$A, $A265, Лист2!$B:$B, $B265)</f>
        <v>17</v>
      </c>
      <c r="F265" s="7">
        <f>SUMIFS(Лист2!$D:$D, Лист2!$A:$A, $A265, Лист2!$B:$B, $B265)</f>
        <v>1097</v>
      </c>
      <c r="G265" s="7">
        <f>SUMIFS(Лист2!$E:$E, Лист2!$A:$A, $A265, Лист2!$B:$B, $B265)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SUMIFS(Лист2!$C:$C, Лист2!$A:$A, $A266, Лист2!$B:$B, $B266)</f>
        <v>15</v>
      </c>
      <c r="F266" s="7">
        <f>SUMIFS(Лист2!$D:$D, Лист2!$A:$A, $A266, Лист2!$B:$B, $B266)</f>
        <v>835</v>
      </c>
      <c r="G266" s="7">
        <f>SUMIFS(Лист2!$E:$E, Лист2!$A:$A, $A266, Лист2!$B:$B, $B266)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SUMIFS(Лист2!$C:$C, Лист2!$A:$A, $A267, Лист2!$B:$B, $B267)</f>
        <v>15</v>
      </c>
      <c r="F267" s="7">
        <f>SUMIFS(Лист2!$D:$D, Лист2!$A:$A, $A267, Лист2!$B:$B, $B267)</f>
        <v>262</v>
      </c>
      <c r="G267" s="7">
        <f>SUMIFS(Лист2!$E:$E, Лист2!$A:$A, $A267, Лист2!$B:$B, $B267)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SUMIFS(Лист2!$C:$C, Лист2!$A:$A, $A268, Лист2!$B:$B, $B268)</f>
        <v>15</v>
      </c>
      <c r="F268" s="7">
        <f>SUMIFS(Лист2!$D:$D, Лист2!$A:$A, $A268, Лист2!$B:$B, $B268)</f>
        <v>706</v>
      </c>
      <c r="G268" s="7">
        <f>SUMIFS(Лист2!$E:$E, Лист2!$A:$A, $A268, Лист2!$B:$B, $B268)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SUMIFS(Лист2!$C:$C, Лист2!$A:$A, $A269, Лист2!$B:$B, $B269)</f>
        <v>15</v>
      </c>
      <c r="F269" s="7">
        <f>SUMIFS(Лист2!$D:$D, Лист2!$A:$A, $A269, Лист2!$B:$B, $B269)</f>
        <v>492</v>
      </c>
      <c r="G269" s="7">
        <f>SUMIFS(Лист2!$E:$E, Лист2!$A:$A, $A269, Лист2!$B:$B, $B269)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SUMIFS(Лист2!$C:$C, Лист2!$A:$A, $A270, Лист2!$B:$B, $B270)</f>
        <v>15</v>
      </c>
      <c r="F270" s="7">
        <f>SUMIFS(Лист2!$D:$D, Лист2!$A:$A, $A270, Лист2!$B:$B, $B270)</f>
        <v>480</v>
      </c>
      <c r="G270" s="7">
        <f>SUMIFS(Лист2!$E:$E, Лист2!$A:$A, $A270, Лист2!$B:$B, $B270)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SUMIFS(Лист2!$C:$C, Лист2!$A:$A, $A271, Лист2!$B:$B, $B271)</f>
        <v>15</v>
      </c>
      <c r="F271" s="7">
        <f>SUMIFS(Лист2!$D:$D, Лист2!$A:$A, $A271, Лист2!$B:$B, $B271)</f>
        <v>779</v>
      </c>
      <c r="G271" s="7">
        <f>SUMIFS(Лист2!$E:$E, Лист2!$A:$A, $A271, Лист2!$B:$B, $B271)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SUMIFS(Лист2!$C:$C, Лист2!$A:$A, $A272, Лист2!$B:$B, $B272)</f>
        <v>19</v>
      </c>
      <c r="F272" s="7">
        <f>SUMIFS(Лист2!$D:$D, Лист2!$A:$A, $A272, Лист2!$B:$B, $B272)</f>
        <v>2039</v>
      </c>
      <c r="G272" s="7">
        <f>SUMIFS(Лист2!$E:$E, Лист2!$A:$A, $A272, Лист2!$B:$B, $B272)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SUMIFS(Лист2!$C:$C, Лист2!$A:$A, $A273, Лист2!$B:$B, $B273)</f>
        <v>19</v>
      </c>
      <c r="F273" s="7">
        <f>SUMIFS(Лист2!$D:$D, Лист2!$A:$A, $A273, Лист2!$B:$B, $B273)</f>
        <v>1831</v>
      </c>
      <c r="G273" s="7">
        <f>SUMIFS(Лист2!$E:$E, Лист2!$A:$A, $A273, Лист2!$B:$B, $B273)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SUMIFS(Лист2!$C:$C, Лист2!$A:$A, $A274, Лист2!$B:$B, $B274)</f>
        <v>19</v>
      </c>
      <c r="F274" s="7">
        <f>SUMIFS(Лист2!$D:$D, Лист2!$A:$A, $A274, Лист2!$B:$B, $B274)</f>
        <v>1790</v>
      </c>
      <c r="G274" s="7">
        <f>SUMIFS(Лист2!$E:$E, Лист2!$A:$A, $A274, Лист2!$B:$B, $B274)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SUMIFS(Лист2!$C:$C, Лист2!$A:$A, $A275, Лист2!$B:$B, $B275)</f>
        <v>19</v>
      </c>
      <c r="F275" s="7">
        <f>SUMIFS(Лист2!$D:$D, Лист2!$A:$A, $A275, Лист2!$B:$B, $B275)</f>
        <v>1542</v>
      </c>
      <c r="G275" s="7">
        <f>SUMIFS(Лист2!$E:$E, Лист2!$A:$A, $A275, Лист2!$B:$B, $B275)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SUMIFS(Лист2!$C:$C, Лист2!$A:$A, $A276, Лист2!$B:$B, $B276)</f>
        <v>19</v>
      </c>
      <c r="F276" s="7">
        <f>SUMIFS(Лист2!$D:$D, Лист2!$A:$A, $A276, Лист2!$B:$B, $B276)</f>
        <v>1479</v>
      </c>
      <c r="G276" s="7">
        <f>SUMIFS(Лист2!$E:$E, Лист2!$A:$A, $A276, Лист2!$B:$B, $B276)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SUMIFS(Лист2!$C:$C, Лист2!$A:$A, $A277, Лист2!$B:$B, $B277)</f>
        <v>19</v>
      </c>
      <c r="F277" s="7">
        <f>SUMIFS(Лист2!$D:$D, Лист2!$A:$A, $A277, Лист2!$B:$B, $B277)</f>
        <v>1206</v>
      </c>
      <c r="G277" s="7">
        <f>SUMIFS(Лист2!$E:$E, Лист2!$A:$A, $A277, Лист2!$B:$B, $B277)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SUMIFS(Лист2!$C:$C, Лист2!$A:$A, $A278, Лист2!$B:$B, $B278)</f>
        <v>20</v>
      </c>
      <c r="F278" s="7">
        <f>SUMIFS(Лист2!$D:$D, Лист2!$A:$A, $A278, Лист2!$B:$B, $B278)</f>
        <v>1814</v>
      </c>
      <c r="G278" s="7">
        <f>SUMIFS(Лист2!$E:$E, Лист2!$A:$A, $A278, Лист2!$B:$B, $B278)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SUMIFS(Лист2!$C:$C, Лист2!$A:$A, $A279, Лист2!$B:$B, $B279)</f>
        <v>19</v>
      </c>
      <c r="F279" s="7">
        <f>SUMIFS(Лист2!$D:$D, Лист2!$A:$A, $A279, Лист2!$B:$B, $B279)</f>
        <v>1987</v>
      </c>
      <c r="G279" s="7">
        <f>SUMIFS(Лист2!$E:$E, Лист2!$A:$A, $A279, Лист2!$B:$B, $B279)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SUMIFS(Лист2!$C:$C, Лист2!$A:$A, $A280, Лист2!$B:$B, $B280)</f>
        <v>19</v>
      </c>
      <c r="F280" s="7">
        <f>SUMIFS(Лист2!$D:$D, Лист2!$A:$A, $A280, Лист2!$B:$B, $B280)</f>
        <v>1598</v>
      </c>
      <c r="G280" s="7">
        <f>SUMIFS(Лист2!$E:$E, Лист2!$A:$A, $A280, Лист2!$B:$B, $B280)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SUMIFS(Лист2!$C:$C, Лист2!$A:$A, $A281, Лист2!$B:$B, $B281)</f>
        <v>19</v>
      </c>
      <c r="F281" s="7">
        <f>SUMIFS(Лист2!$D:$D, Лист2!$A:$A, $A281, Лист2!$B:$B, $B281)</f>
        <v>1650</v>
      </c>
      <c r="G281" s="7">
        <f>SUMIFS(Лист2!$E:$E, Лист2!$A:$A, $A281, Лист2!$B:$B, $B281)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SUMIFS(Лист2!$C:$C, Лист2!$A:$A, $A282, Лист2!$B:$B, $B282)</f>
        <v>19</v>
      </c>
      <c r="F282" s="7">
        <f>SUMIFS(Лист2!$D:$D, Лист2!$A:$A, $A282, Лист2!$B:$B, $B282)</f>
        <v>1823</v>
      </c>
      <c r="G282" s="7">
        <f>SUMIFS(Лист2!$E:$E, Лист2!$A:$A, $A282, Лист2!$B:$B, $B282)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SUMIFS(Лист2!$C:$C, Лист2!$A:$A, $A283, Лист2!$B:$B, $B283)</f>
        <v>19</v>
      </c>
      <c r="F283" s="7">
        <f>SUMIFS(Лист2!$D:$D, Лист2!$A:$A, $A283, Лист2!$B:$B, $B283)</f>
        <v>1622</v>
      </c>
      <c r="G283" s="7">
        <f>SUMIFS(Лист2!$E:$E, Лист2!$A:$A, $A283, Лист2!$B:$B, $B283)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SUMIFS(Лист2!$C:$C, Лист2!$A:$A, $A284, Лист2!$B:$B, $B284)</f>
        <v>19</v>
      </c>
      <c r="F284" s="7">
        <f>SUMIFS(Лист2!$D:$D, Лист2!$A:$A, $A284, Лист2!$B:$B, $B284)</f>
        <v>1605</v>
      </c>
      <c r="G284" s="7">
        <f>SUMIFS(Лист2!$E:$E, Лист2!$A:$A, $A284, Лист2!$B:$B, $B284)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SUMIFS(Лист2!$C:$C, Лист2!$A:$A, $A285, Лист2!$B:$B, $B285)</f>
        <v>16</v>
      </c>
      <c r="F285" s="7">
        <f>SUMIFS(Лист2!$D:$D, Лист2!$A:$A, $A285, Лист2!$B:$B, $B285)</f>
        <v>917</v>
      </c>
      <c r="G285" s="7">
        <f>SUMIFS(Лист2!$E:$E, Лист2!$A:$A, $A285, Лист2!$B:$B, $B285)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SUMIFS(Лист2!$C:$C, Лист2!$A:$A, $A286, Лист2!$B:$B, $B286)</f>
        <v>19</v>
      </c>
      <c r="F286" s="7">
        <f>SUMIFS(Лист2!$D:$D, Лист2!$A:$A, $A286, Лист2!$B:$B, $B286)</f>
        <v>1314</v>
      </c>
      <c r="G286" s="7">
        <f>SUMIFS(Лист2!$E:$E, Лист2!$A:$A, $A286, Лист2!$B:$B, $B286)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SUMIFS(Лист2!$C:$C, Лист2!$A:$A, $A287, Лист2!$B:$B, $B287)</f>
        <v>16</v>
      </c>
      <c r="F287" s="7">
        <f>SUMIFS(Лист2!$D:$D, Лист2!$A:$A, $A287, Лист2!$B:$B, $B287)</f>
        <v>1048</v>
      </c>
      <c r="G287" s="7">
        <f>SUMIFS(Лист2!$E:$E, Лист2!$A:$A, $A287, Лист2!$B:$B, $B287)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SUMIFS(Лист2!$C:$C, Лист2!$A:$A, $A288, Лист2!$B:$B, $B288)</f>
        <v>19</v>
      </c>
      <c r="F288" s="7">
        <f>SUMIFS(Лист2!$D:$D, Лист2!$A:$A, $A288, Лист2!$B:$B, $B288)</f>
        <v>1509</v>
      </c>
      <c r="G288" s="7">
        <f>SUMIFS(Лист2!$E:$E, Лист2!$A:$A, $A288, Лист2!$B:$B, $B288)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SUMIFS(Лист2!$C:$C, Лист2!$A:$A, $A289, Лист2!$B:$B, $B289)</f>
        <v>19</v>
      </c>
      <c r="F289" s="7">
        <f>SUMIFS(Лист2!$D:$D, Лист2!$A:$A, $A289, Лист2!$B:$B, $B289)</f>
        <v>2195</v>
      </c>
      <c r="G289" s="7">
        <f>SUMIFS(Лист2!$E:$E, Лист2!$A:$A, $A289, Лист2!$B:$B, $B289)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SUMIFS(Лист2!$C:$C, Лист2!$A:$A, $A290, Лист2!$B:$B, $B290)</f>
        <v>16</v>
      </c>
      <c r="F290" s="7">
        <f>SUMIFS(Лист2!$D:$D, Лист2!$A:$A, $A290, Лист2!$B:$B, $B290)</f>
        <v>876</v>
      </c>
      <c r="G290" s="7">
        <f>SUMIFS(Лист2!$E:$E, Лист2!$A:$A, $A290, Лист2!$B:$B, $B290)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SUMIFS(Лист2!$C:$C, Лист2!$A:$A, $A291, Лист2!$B:$B, $B291)</f>
        <v>20</v>
      </c>
      <c r="F291" s="7">
        <f>SUMIFS(Лист2!$D:$D, Лист2!$A:$A, $A291, Лист2!$B:$B, $B291)</f>
        <v>1899</v>
      </c>
      <c r="G291" s="7">
        <f>SUMIFS(Лист2!$E:$E, Лист2!$A:$A, $A291, Лист2!$B:$B, $B291)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SUMIFS(Лист2!$C:$C, Лист2!$A:$A, $A292, Лист2!$B:$B, $B292)</f>
        <v>19</v>
      </c>
      <c r="F292" s="7">
        <f>SUMIFS(Лист2!$D:$D, Лист2!$A:$A, $A292, Лист2!$B:$B, $B292)</f>
        <v>1662</v>
      </c>
      <c r="G292" s="7">
        <f>SUMIFS(Лист2!$E:$E, Лист2!$A:$A, $A292, Лист2!$B:$B, $B292)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SUMIFS(Лист2!$C:$C, Лист2!$A:$A, $A293, Лист2!$B:$B, $B293)</f>
        <v>19</v>
      </c>
      <c r="F293" s="7">
        <f>SUMIFS(Лист2!$D:$D, Лист2!$A:$A, $A293, Лист2!$B:$B, $B293)</f>
        <v>1836</v>
      </c>
      <c r="G293" s="7">
        <f>SUMIFS(Лист2!$E:$E, Лист2!$A:$A, $A293, Лист2!$B:$B, $B293)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SUMIFS(Лист2!$C:$C, Лист2!$A:$A, $A294, Лист2!$B:$B, $B294)</f>
        <v>19</v>
      </c>
      <c r="F294" s="7">
        <f>SUMIFS(Лист2!$D:$D, Лист2!$A:$A, $A294, Лист2!$B:$B, $B294)</f>
        <v>1520</v>
      </c>
      <c r="G294" s="7">
        <f>SUMIFS(Лист2!$E:$E, Лист2!$A:$A, $A294, Лист2!$B:$B, $B294)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SUMIFS(Лист2!$C:$C, Лист2!$A:$A, $A295, Лист2!$B:$B, $B295)</f>
        <v>19</v>
      </c>
      <c r="F295" s="7">
        <f>SUMIFS(Лист2!$D:$D, Лист2!$A:$A, $A295, Лист2!$B:$B, $B295)</f>
        <v>1580</v>
      </c>
      <c r="G295" s="7">
        <f>SUMIFS(Лист2!$E:$E, Лист2!$A:$A, $A295, Лист2!$B:$B, $B295)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SUMIFS(Лист2!$C:$C, Лист2!$A:$A, $A296, Лист2!$B:$B, $B296)</f>
        <v>19</v>
      </c>
      <c r="F296" s="7">
        <f>SUMIFS(Лист2!$D:$D, Лист2!$A:$A, $A296, Лист2!$B:$B, $B296)</f>
        <v>1868</v>
      </c>
      <c r="G296" s="7">
        <f>SUMIFS(Лист2!$E:$E, Лист2!$A:$A, $A296, Лист2!$B:$B, $B296)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SUMIFS(Лист2!$C:$C, Лист2!$A:$A, $A297, Лист2!$B:$B, $B297)</f>
        <v>59</v>
      </c>
      <c r="F297" s="7">
        <f>SUMIFS(Лист2!$D:$D, Лист2!$A:$A, $A297, Лист2!$B:$B, $B297)</f>
        <v>13186</v>
      </c>
      <c r="G297" s="7">
        <f>SUMIFS(Лист2!$E:$E, Лист2!$A:$A, $A297, Лист2!$B:$B, $B297)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SUMIFS(Лист2!$C:$C, Лист2!$A:$A, $A298, Лист2!$B:$B, $B298)</f>
        <v>59</v>
      </c>
      <c r="F298" s="7">
        <f>SUMIFS(Лист2!$D:$D, Лист2!$A:$A, $A298, Лист2!$B:$B, $B298)</f>
        <v>12943</v>
      </c>
      <c r="G298" s="7">
        <f>SUMIFS(Лист2!$E:$E, Лист2!$A:$A, $A298, Лист2!$B:$B, $B298)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SUMIFS(Лист2!$C:$C, Лист2!$A:$A, $A299, Лист2!$B:$B, $B299)</f>
        <v>21</v>
      </c>
      <c r="F299" s="7">
        <f>SUMIFS(Лист2!$D:$D, Лист2!$A:$A, $A299, Лист2!$B:$B, $B299)</f>
        <v>2056</v>
      </c>
      <c r="G299" s="7">
        <f>SUMIFS(Лист2!$E:$E, Лист2!$A:$A, $A299, Лист2!$B:$B, $B299)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SUMIFS(Лист2!$C:$C, Лист2!$A:$A, $A300, Лист2!$B:$B, $B300)</f>
        <v>20</v>
      </c>
      <c r="F300" s="7">
        <f>SUMIFS(Лист2!$D:$D, Лист2!$A:$A, $A300, Лист2!$B:$B, $B300)</f>
        <v>2174</v>
      </c>
      <c r="G300" s="7">
        <f>SUMIFS(Лист2!$E:$E, Лист2!$A:$A, $A300, Лист2!$B:$B, $B300)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SUMIFS(Лист2!$C:$C, Лист2!$A:$A, $A301, Лист2!$B:$B, $B301)</f>
        <v>20</v>
      </c>
      <c r="F301" s="7">
        <f>SUMIFS(Лист2!$D:$D, Лист2!$A:$A, $A301, Лист2!$B:$B, $B301)</f>
        <v>1875</v>
      </c>
      <c r="G301" s="7">
        <f>SUMIFS(Лист2!$E:$E, Лист2!$A:$A, $A301, Лист2!$B:$B, $B301)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SUMIFS(Лист2!$C:$C, Лист2!$A:$A, $A302, Лист2!$B:$B, $B302)</f>
        <v>60</v>
      </c>
      <c r="F302" s="7">
        <f>SUMIFS(Лист2!$D:$D, Лист2!$A:$A, $A302, Лист2!$B:$B, $B302)</f>
        <v>14049</v>
      </c>
      <c r="G302" s="7">
        <f>SUMIFS(Лист2!$E:$E, Лист2!$A:$A, $A302, Лист2!$B:$B, $B302)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SUMIFS(Лист2!$C:$C, Лист2!$A:$A, $A303, Лист2!$B:$B, $B303)</f>
        <v>60</v>
      </c>
      <c r="F303" s="7">
        <f>SUMIFS(Лист2!$D:$D, Лист2!$A:$A, $A303, Лист2!$B:$B, $B303)</f>
        <v>13867</v>
      </c>
      <c r="G303" s="7">
        <f>SUMIFS(Лист2!$E:$E, Лист2!$A:$A, $A303, Лист2!$B:$B, $B303)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SUMIFS(Лист2!$C:$C, Лист2!$A:$A, $A304, Лист2!$B:$B, $B304)</f>
        <v>60</v>
      </c>
      <c r="F304" s="7">
        <f>SUMIFS(Лист2!$D:$D, Лист2!$A:$A, $A304, Лист2!$B:$B, $B304)</f>
        <v>11698</v>
      </c>
      <c r="G304" s="7">
        <f>SUMIFS(Лист2!$E:$E, Лист2!$A:$A, $A304, Лист2!$B:$B, $B304)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SUMIFS(Лист2!$C:$C, Лист2!$A:$A, $A305, Лист2!$B:$B, $B305)</f>
        <v>59</v>
      </c>
      <c r="F305" s="7">
        <f>SUMIFS(Лист2!$D:$D, Лист2!$A:$A, $A305, Лист2!$B:$B, $B305)</f>
        <v>12016</v>
      </c>
      <c r="G305" s="7">
        <f>SUMIFS(Лист2!$E:$E, Лист2!$A:$A, $A305, Лист2!$B:$B, $B305)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SUMIFS(Лист2!$C:$C, Лист2!$A:$A, $A306, Лист2!$B:$B, $B306)</f>
        <v>59</v>
      </c>
      <c r="F306" s="7">
        <f>SUMIFS(Лист2!$D:$D, Лист2!$A:$A, $A306, Лист2!$B:$B, $B306)</f>
        <v>14423</v>
      </c>
      <c r="G306" s="7">
        <f>SUMIFS(Лист2!$E:$E, Лист2!$A:$A, $A306, Лист2!$B:$B, $B306)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SUMIFS(Лист2!$C:$C, Лист2!$A:$A, $A307, Лист2!$B:$B, $B307)</f>
        <v>54</v>
      </c>
      <c r="F307" s="7">
        <f>SUMIFS(Лист2!$D:$D, Лист2!$A:$A, $A307, Лист2!$B:$B, $B307)</f>
        <v>12747</v>
      </c>
      <c r="G307" s="7">
        <f>SUMIFS(Лист2!$E:$E, Лист2!$A:$A, $A307, Лист2!$B:$B, $B307)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SUMIFS(Лист2!$C:$C, Лист2!$A:$A, $A308, Лист2!$B:$B, $B308)</f>
        <v>59</v>
      </c>
      <c r="F308" s="7">
        <f>SUMIFS(Лист2!$D:$D, Лист2!$A:$A, $A308, Лист2!$B:$B, $B308)</f>
        <v>12429</v>
      </c>
      <c r="G308" s="7">
        <f>SUMIFS(Лист2!$E:$E, Лист2!$A:$A, $A308, Лист2!$B:$B, $B308)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SUMIFS(Лист2!$C:$C, Лист2!$A:$A, $A309, Лист2!$B:$B, $B309)</f>
        <v>59</v>
      </c>
      <c r="F309" s="7">
        <f>SUMIFS(Лист2!$D:$D, Лист2!$A:$A, $A309, Лист2!$B:$B, $B309)</f>
        <v>15369</v>
      </c>
      <c r="G309" s="7">
        <f>SUMIFS(Лист2!$E:$E, Лист2!$A:$A, $A309, Лист2!$B:$B, $B309)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SUMIFS(Лист2!$C:$C, Лист2!$A:$A, $A310, Лист2!$B:$B, $B310)</f>
        <v>59</v>
      </c>
      <c r="F310" s="7">
        <f>SUMIFS(Лист2!$D:$D, Лист2!$A:$A, $A310, Лист2!$B:$B, $B310)</f>
        <v>15222</v>
      </c>
      <c r="G310" s="7">
        <f>SUMIFS(Лист2!$E:$E, Лист2!$A:$A, $A310, Лист2!$B:$B, $B310)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SUMIFS(Лист2!$C:$C, Лист2!$A:$A, $A311, Лист2!$B:$B, $B311)</f>
        <v>60</v>
      </c>
      <c r="F311" s="7">
        <f>SUMIFS(Лист2!$D:$D, Лист2!$A:$A, $A311, Лист2!$B:$B, $B311)</f>
        <v>12000</v>
      </c>
      <c r="G311" s="7">
        <f>SUMIFS(Лист2!$E:$E, Лист2!$A:$A, $A311, Лист2!$B:$B, $B311)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SUMIFS(Лист2!$C:$C, Лист2!$A:$A, $A312, Лист2!$B:$B, $B312)</f>
        <v>60</v>
      </c>
      <c r="F312" s="7">
        <f>SUMIFS(Лист2!$D:$D, Лист2!$A:$A, $A312, Лист2!$B:$B, $B312)</f>
        <v>14005</v>
      </c>
      <c r="G312" s="7">
        <f>SUMIFS(Лист2!$E:$E, Лист2!$A:$A, $A312, Лист2!$B:$B, $B312)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SUMIFS(Лист2!$C:$C, Лист2!$A:$A, $A313, Лист2!$B:$B, $B313)</f>
        <v>60</v>
      </c>
      <c r="F313" s="7">
        <f>SUMIFS(Лист2!$D:$D, Лист2!$A:$A, $A313, Лист2!$B:$B, $B313)</f>
        <v>13792</v>
      </c>
      <c r="G313" s="7">
        <f>SUMIFS(Лист2!$E:$E, Лист2!$A:$A, $A313, Лист2!$B:$B, $B313)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SUMIFS(Лист2!$C:$C, Лист2!$A:$A, $A314, Лист2!$B:$B, $B314)</f>
        <v>59</v>
      </c>
      <c r="F314" s="7">
        <f>SUMIFS(Лист2!$D:$D, Лист2!$A:$A, $A314, Лист2!$B:$B, $B314)</f>
        <v>13469</v>
      </c>
      <c r="G314" s="7">
        <f>SUMIFS(Лист2!$E:$E, Лист2!$A:$A, $A314, Лист2!$B:$B, $B314)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SUMIFS(Лист2!$C:$C, Лист2!$A:$A, $A315, Лист2!$B:$B, $B315)</f>
        <v>54</v>
      </c>
      <c r="F315" s="7">
        <f>SUMIFS(Лист2!$D:$D, Лист2!$A:$A, $A315, Лист2!$B:$B, $B315)</f>
        <v>12306</v>
      </c>
      <c r="G315" s="7">
        <f>SUMIFS(Лист2!$E:$E, Лист2!$A:$A, $A315, Лист2!$B:$B, $B315)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SUMIFS(Лист2!$C:$C, Лист2!$A:$A, $A316, Лист2!$B:$B, $B316)</f>
        <v>60</v>
      </c>
      <c r="F316" s="7">
        <f>SUMIFS(Лист2!$D:$D, Лист2!$A:$A, $A316, Лист2!$B:$B, $B316)</f>
        <v>12007</v>
      </c>
      <c r="G316" s="7">
        <f>SUMIFS(Лист2!$E:$E, Лист2!$A:$A, $A316, Лист2!$B:$B, $B316)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SUMIFS(Лист2!$C:$C, Лист2!$A:$A, $A317, Лист2!$B:$B, $B317)</f>
        <v>59</v>
      </c>
      <c r="F317" s="7">
        <f>SUMIFS(Лист2!$D:$D, Лист2!$A:$A, $A317, Лист2!$B:$B, $B317)</f>
        <v>15277</v>
      </c>
      <c r="G317" s="7">
        <f>SUMIFS(Лист2!$E:$E, Лист2!$A:$A, $A317, Лист2!$B:$B, $B317)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SUMIFS(Лист2!$C:$C, Лист2!$A:$A, $A318, Лист2!$B:$B, $B318)</f>
        <v>59</v>
      </c>
      <c r="F318" s="7">
        <f>SUMIFS(Лист2!$D:$D, Лист2!$A:$A, $A318, Лист2!$B:$B, $B318)</f>
        <v>14103</v>
      </c>
      <c r="G318" s="7">
        <f>SUMIFS(Лист2!$E:$E, Лист2!$A:$A, $A318, Лист2!$B:$B, $B318)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SUMIFS(Лист2!$C:$C, Лист2!$A:$A, $A319, Лист2!$B:$B, $B319)</f>
        <v>60</v>
      </c>
      <c r="F319" s="7">
        <f>SUMIFS(Лист2!$D:$D, Лист2!$A:$A, $A319, Лист2!$B:$B, $B319)</f>
        <v>17295</v>
      </c>
      <c r="G319" s="7">
        <f>SUMIFS(Лист2!$E:$E, Лист2!$A:$A, $A319, Лист2!$B:$B, $B319)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SUMIFS(Лист2!$C:$C, Лист2!$A:$A, $A320, Лист2!$B:$B, $B320)</f>
        <v>59</v>
      </c>
      <c r="F320" s="7">
        <f>SUMIFS(Лист2!$D:$D, Лист2!$A:$A, $A320, Лист2!$B:$B, $B320)</f>
        <v>12983</v>
      </c>
      <c r="G320" s="7">
        <f>SUMIFS(Лист2!$E:$E, Лист2!$A:$A, $A320, Лист2!$B:$B, $B320)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SUMIFS(Лист2!$C:$C, Лист2!$A:$A, $A321, Лист2!$B:$B, $B321)</f>
        <v>59</v>
      </c>
      <c r="F321" s="7">
        <f>SUMIFS(Лист2!$D:$D, Лист2!$A:$A, $A321, Лист2!$B:$B, $B321)</f>
        <v>13251</v>
      </c>
      <c r="G321" s="7">
        <f>SUMIFS(Лист2!$E:$E, Лист2!$A:$A, $A321, Лист2!$B:$B, $B321)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SUMIFS(Лист2!$C:$C, Лист2!$A:$A, $A322, Лист2!$B:$B, $B322)</f>
        <v>59</v>
      </c>
      <c r="F322" s="7">
        <f>SUMIFS(Лист2!$D:$D, Лист2!$A:$A, $A322, Лист2!$B:$B, $B322)</f>
        <v>14569</v>
      </c>
      <c r="G322" s="7">
        <f>SUMIFS(Лист2!$E:$E, Лист2!$A:$A, $A322, Лист2!$B:$B, $B322)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SUMIFS(Лист2!$C:$C, Лист2!$A:$A, $A323, Лист2!$B:$B, $B323)</f>
        <v>59</v>
      </c>
      <c r="F323" s="7">
        <f>SUMIFS(Лист2!$D:$D, Лист2!$A:$A, $A323, Лист2!$B:$B, $B323)</f>
        <v>14098</v>
      </c>
      <c r="G323" s="7">
        <f>SUMIFS(Лист2!$E:$E, Лист2!$A:$A, $A323, Лист2!$B:$B, $B323)</f>
        <v>13106</v>
      </c>
      <c r="H323">
        <f t="shared" ref="H323:H386" si="10">IFERROR(D323/E323, 0)</f>
        <v>404778.78813559323</v>
      </c>
      <c r="I323">
        <f t="shared" ref="I323:I386" si="11">WEEKNUM(A323, 2)</f>
        <v>19</v>
      </c>
    </row>
    <row r="324" spans="1:9" ht="14.25" customHeight="1" x14ac:dyDescent="0.3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SUMIFS(Лист2!$C:$C, Лист2!$A:$A, $A324, Лист2!$B:$B, $B324)</f>
        <v>59</v>
      </c>
      <c r="F324" s="7">
        <f>SUMIFS(Лист2!$D:$D, Лист2!$A:$A, $A324, Лист2!$B:$B, $B324)</f>
        <v>13495</v>
      </c>
      <c r="G324" s="7">
        <f>SUMIFS(Лист2!$E:$E, Лист2!$A:$A, $A324, Лист2!$B:$B, $B324)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SUMIFS(Лист2!$C:$C, Лист2!$A:$A, $A325, Лист2!$B:$B, $B325)</f>
        <v>60</v>
      </c>
      <c r="F325" s="7">
        <f>SUMIFS(Лист2!$D:$D, Лист2!$A:$A, $A325, Лист2!$B:$B, $B325)</f>
        <v>12822</v>
      </c>
      <c r="G325" s="7">
        <f>SUMIFS(Лист2!$E:$E, Лист2!$A:$A, $A325, Лист2!$B:$B, $B325)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SUMIFS(Лист2!$C:$C, Лист2!$A:$A, $A326, Лист2!$B:$B, $B326)</f>
        <v>54</v>
      </c>
      <c r="F326" s="7">
        <f>SUMIFS(Лист2!$D:$D, Лист2!$A:$A, $A326, Лист2!$B:$B, $B326)</f>
        <v>13170</v>
      </c>
      <c r="G326" s="7">
        <f>SUMIFS(Лист2!$E:$E, Лист2!$A:$A, $A326, Лист2!$B:$B, $B326)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SUMIFS(Лист2!$C:$C, Лист2!$A:$A, $A327, Лист2!$B:$B, $B327)</f>
        <v>54</v>
      </c>
      <c r="F327" s="7">
        <f>SUMIFS(Лист2!$D:$D, Лист2!$A:$A, $A327, Лист2!$B:$B, $B327)</f>
        <v>13070</v>
      </c>
      <c r="G327" s="7">
        <f>SUMIFS(Лист2!$E:$E, Лист2!$A:$A, $A327, Лист2!$B:$B, $B327)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SUMIFS(Лист2!$C:$C, Лист2!$A:$A, $A328, Лист2!$B:$B, $B328)</f>
        <v>54</v>
      </c>
      <c r="F328" s="7">
        <f>SUMIFS(Лист2!$D:$D, Лист2!$A:$A, $A328, Лист2!$B:$B, $B328)</f>
        <v>11128</v>
      </c>
      <c r="G328" s="7">
        <f>SUMIFS(Лист2!$E:$E, Лист2!$A:$A, $A328, Лист2!$B:$B, $B328)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SUMIFS(Лист2!$C:$C, Лист2!$A:$A, $A329, Лист2!$B:$B, $B329)</f>
        <v>54</v>
      </c>
      <c r="F329" s="7">
        <f>SUMIFS(Лист2!$D:$D, Лист2!$A:$A, $A329, Лист2!$B:$B, $B329)</f>
        <v>11288</v>
      </c>
      <c r="G329" s="7">
        <f>SUMIFS(Лист2!$E:$E, Лист2!$A:$A, $A329, Лист2!$B:$B, $B329)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SUMIFS(Лист2!$C:$C, Лист2!$A:$A, $A330, Лист2!$B:$B, $B330)</f>
        <v>54</v>
      </c>
      <c r="F330" s="7">
        <f>SUMIFS(Лист2!$D:$D, Лист2!$A:$A, $A330, Лист2!$B:$B, $B330)</f>
        <v>13606</v>
      </c>
      <c r="G330" s="7">
        <f>SUMIFS(Лист2!$E:$E, Лист2!$A:$A, $A330, Лист2!$B:$B, $B330)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SUMIFS(Лист2!$C:$C, Лист2!$A:$A, $A331, Лист2!$B:$B, $B331)</f>
        <v>54</v>
      </c>
      <c r="F331" s="7">
        <f>SUMIFS(Лист2!$D:$D, Лист2!$A:$A, $A331, Лист2!$B:$B, $B331)</f>
        <v>11622</v>
      </c>
      <c r="G331" s="7">
        <f>SUMIFS(Лист2!$E:$E, Лист2!$A:$A, $A331, Лист2!$B:$B, $B331)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SUMIFS(Лист2!$C:$C, Лист2!$A:$A, $A332, Лист2!$B:$B, $B332)</f>
        <v>54</v>
      </c>
      <c r="F332" s="7">
        <f>SUMIFS(Лист2!$D:$D, Лист2!$A:$A, $A332, Лист2!$B:$B, $B332)</f>
        <v>14482</v>
      </c>
      <c r="G332" s="7">
        <f>SUMIFS(Лист2!$E:$E, Лист2!$A:$A, $A332, Лист2!$B:$B, $B332)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SUMIFS(Лист2!$C:$C, Лист2!$A:$A, $A333, Лист2!$B:$B, $B333)</f>
        <v>54</v>
      </c>
      <c r="F333" s="7">
        <f>SUMIFS(Лист2!$D:$D, Лист2!$A:$A, $A333, Лист2!$B:$B, $B333)</f>
        <v>14205</v>
      </c>
      <c r="G333" s="7">
        <f>SUMIFS(Лист2!$E:$E, Лист2!$A:$A, $A333, Лист2!$B:$B, $B333)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SUMIFS(Лист2!$C:$C, Лист2!$A:$A, $A334, Лист2!$B:$B, $B334)</f>
        <v>54</v>
      </c>
      <c r="F334" s="7">
        <f>SUMIFS(Лист2!$D:$D, Лист2!$A:$A, $A334, Лист2!$B:$B, $B334)</f>
        <v>11614</v>
      </c>
      <c r="G334" s="7">
        <f>SUMIFS(Лист2!$E:$E, Лист2!$A:$A, $A334, Лист2!$B:$B, $B334)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SUMIFS(Лист2!$C:$C, Лист2!$A:$A, $A335, Лист2!$B:$B, $B335)</f>
        <v>54</v>
      </c>
      <c r="F335" s="7">
        <f>SUMIFS(Лист2!$D:$D, Лист2!$A:$A, $A335, Лист2!$B:$B, $B335)</f>
        <v>13240</v>
      </c>
      <c r="G335" s="7">
        <f>SUMIFS(Лист2!$E:$E, Лист2!$A:$A, $A335, Лист2!$B:$B, $B335)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SUMIFS(Лист2!$C:$C, Лист2!$A:$A, $A336, Лист2!$B:$B, $B336)</f>
        <v>54</v>
      </c>
      <c r="F336" s="7">
        <f>SUMIFS(Лист2!$D:$D, Лист2!$A:$A, $A336, Лист2!$B:$B, $B336)</f>
        <v>13298</v>
      </c>
      <c r="G336" s="7">
        <f>SUMIFS(Лист2!$E:$E, Лист2!$A:$A, $A336, Лист2!$B:$B, $B336)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SUMIFS(Лист2!$C:$C, Лист2!$A:$A, $A337, Лист2!$B:$B, $B337)</f>
        <v>54</v>
      </c>
      <c r="F337" s="7">
        <f>SUMIFS(Лист2!$D:$D, Лист2!$A:$A, $A337, Лист2!$B:$B, $B337)</f>
        <v>12775</v>
      </c>
      <c r="G337" s="7">
        <f>SUMIFS(Лист2!$E:$E, Лист2!$A:$A, $A337, Лист2!$B:$B, $B337)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SUMIFS(Лист2!$C:$C, Лист2!$A:$A, $A338, Лист2!$B:$B, $B338)</f>
        <v>54</v>
      </c>
      <c r="F338" s="7">
        <f>SUMIFS(Лист2!$D:$D, Лист2!$A:$A, $A338, Лист2!$B:$B, $B338)</f>
        <v>11522</v>
      </c>
      <c r="G338" s="7">
        <f>SUMIFS(Лист2!$E:$E, Лист2!$A:$A, $A338, Лист2!$B:$B, $B338)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SUMIFS(Лист2!$C:$C, Лист2!$A:$A, $A339, Лист2!$B:$B, $B339)</f>
        <v>59</v>
      </c>
      <c r="F339" s="7">
        <f>SUMIFS(Лист2!$D:$D, Лист2!$A:$A, $A339, Лист2!$B:$B, $B339)</f>
        <v>13684</v>
      </c>
      <c r="G339" s="7">
        <f>SUMIFS(Лист2!$E:$E, Лист2!$A:$A, $A339, Лист2!$B:$B, $B339)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SUMIFS(Лист2!$C:$C, Лист2!$A:$A, $A340, Лист2!$B:$B, $B340)</f>
        <v>54</v>
      </c>
      <c r="F340" s="7">
        <f>SUMIFS(Лист2!$D:$D, Лист2!$A:$A, $A340, Лист2!$B:$B, $B340)</f>
        <v>14823</v>
      </c>
      <c r="G340" s="7">
        <f>SUMIFS(Лист2!$E:$E, Лист2!$A:$A, $A340, Лист2!$B:$B, $B340)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SUMIFS(Лист2!$C:$C, Лист2!$A:$A, $A341, Лист2!$B:$B, $B341)</f>
        <v>59</v>
      </c>
      <c r="F341" s="7">
        <f>SUMIFS(Лист2!$D:$D, Лист2!$A:$A, $A341, Лист2!$B:$B, $B341)</f>
        <v>15030</v>
      </c>
      <c r="G341" s="7">
        <f>SUMIFS(Лист2!$E:$E, Лист2!$A:$A, $A341, Лист2!$B:$B, $B341)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SUMIFS(Лист2!$C:$C, Лист2!$A:$A, $A342, Лист2!$B:$B, $B342)</f>
        <v>54</v>
      </c>
      <c r="F342" s="7">
        <f>SUMIFS(Лист2!$D:$D, Лист2!$A:$A, $A342, Лист2!$B:$B, $B342)</f>
        <v>13406</v>
      </c>
      <c r="G342" s="7">
        <f>SUMIFS(Лист2!$E:$E, Лист2!$A:$A, $A342, Лист2!$B:$B, $B342)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SUMIFS(Лист2!$C:$C, Лист2!$A:$A, $A343, Лист2!$B:$B, $B343)</f>
        <v>54</v>
      </c>
      <c r="F343" s="7">
        <f>SUMIFS(Лист2!$D:$D, Лист2!$A:$A, $A343, Лист2!$B:$B, $B343)</f>
        <v>16221</v>
      </c>
      <c r="G343" s="7">
        <f>SUMIFS(Лист2!$E:$E, Лист2!$A:$A, $A343, Лист2!$B:$B, $B343)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SUMIFS(Лист2!$C:$C, Лист2!$A:$A, $A344, Лист2!$B:$B, $B344)</f>
        <v>60</v>
      </c>
      <c r="F344" s="7">
        <f>SUMIFS(Лист2!$D:$D, Лист2!$A:$A, $A344, Лист2!$B:$B, $B344)</f>
        <v>12854</v>
      </c>
      <c r="G344" s="7">
        <f>SUMIFS(Лист2!$E:$E, Лист2!$A:$A, $A344, Лист2!$B:$B, $B344)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SUMIFS(Лист2!$C:$C, Лист2!$A:$A, $A345, Лист2!$B:$B, $B345)</f>
        <v>54</v>
      </c>
      <c r="F345" s="7">
        <f>SUMIFS(Лист2!$D:$D, Лист2!$A:$A, $A345, Лист2!$B:$B, $B345)</f>
        <v>12336</v>
      </c>
      <c r="G345" s="7">
        <f>SUMIFS(Лист2!$E:$E, Лист2!$A:$A, $A345, Лист2!$B:$B, $B345)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SUMIFS(Лист2!$C:$C, Лист2!$A:$A, $A346, Лист2!$B:$B, $B346)</f>
        <v>54</v>
      </c>
      <c r="F346" s="7">
        <f>SUMIFS(Лист2!$D:$D, Лист2!$A:$A, $A346, Лист2!$B:$B, $B346)</f>
        <v>12817</v>
      </c>
      <c r="G346" s="7">
        <f>SUMIFS(Лист2!$E:$E, Лист2!$A:$A, $A346, Лист2!$B:$B, $B346)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SUMIFS(Лист2!$C:$C, Лист2!$A:$A, $A347, Лист2!$B:$B, $B347)</f>
        <v>54</v>
      </c>
      <c r="F347" s="7">
        <f>SUMIFS(Лист2!$D:$D, Лист2!$A:$A, $A347, Лист2!$B:$B, $B347)</f>
        <v>13832</v>
      </c>
      <c r="G347" s="7">
        <f>SUMIFS(Лист2!$E:$E, Лист2!$A:$A, $A347, Лист2!$B:$B, $B347)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SUMIFS(Лист2!$C:$C, Лист2!$A:$A, $A348, Лист2!$B:$B, $B348)</f>
        <v>54</v>
      </c>
      <c r="F348" s="7">
        <f>SUMIFS(Лист2!$D:$D, Лист2!$A:$A, $A348, Лист2!$B:$B, $B348)</f>
        <v>13563</v>
      </c>
      <c r="G348" s="7">
        <f>SUMIFS(Лист2!$E:$E, Лист2!$A:$A, $A348, Лист2!$B:$B, $B348)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SUMIFS(Лист2!$C:$C, Лист2!$A:$A, $A349, Лист2!$B:$B, $B349)</f>
        <v>54</v>
      </c>
      <c r="F349" s="7">
        <f>SUMIFS(Лист2!$D:$D, Лист2!$A:$A, $A349, Лист2!$B:$B, $B349)</f>
        <v>12743</v>
      </c>
      <c r="G349" s="7">
        <f>SUMIFS(Лист2!$E:$E, Лист2!$A:$A, $A349, Лист2!$B:$B, $B349)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SUMIFS(Лист2!$C:$C, Лист2!$A:$A, $A350, Лист2!$B:$B, $B350)</f>
        <v>54</v>
      </c>
      <c r="F350" s="7">
        <f>SUMIFS(Лист2!$D:$D, Лист2!$A:$A, $A350, Лист2!$B:$B, $B350)</f>
        <v>12211</v>
      </c>
      <c r="G350" s="7">
        <f>SUMIFS(Лист2!$E:$E, Лист2!$A:$A, $A350, Лист2!$B:$B, $B350)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SUMIFS(Лист2!$C:$C, Лист2!$A:$A, $A351, Лист2!$B:$B, $B351)</f>
        <v>15</v>
      </c>
      <c r="F351" s="7">
        <f>SUMIFS(Лист2!$D:$D, Лист2!$A:$A, $A351, Лист2!$B:$B, $B351)</f>
        <v>659</v>
      </c>
      <c r="G351" s="7">
        <f>SUMIFS(Лист2!$E:$E, Лист2!$A:$A, $A351, Лист2!$B:$B, $B351)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SUMIFS(Лист2!$C:$C, Лист2!$A:$A, $A352, Лист2!$B:$B, $B352)</f>
        <v>15</v>
      </c>
      <c r="F352" s="7">
        <f>SUMIFS(Лист2!$D:$D, Лист2!$A:$A, $A352, Лист2!$B:$B, $B352)</f>
        <v>636</v>
      </c>
      <c r="G352" s="7">
        <f>SUMIFS(Лист2!$E:$E, Лист2!$A:$A, $A352, Лист2!$B:$B, $B352)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SUMIFS(Лист2!$C:$C, Лист2!$A:$A, $A353, Лист2!$B:$B, $B353)</f>
        <v>54</v>
      </c>
      <c r="F353" s="7">
        <f>SUMIFS(Лист2!$D:$D, Лист2!$A:$A, $A353, Лист2!$B:$B, $B353)</f>
        <v>13106</v>
      </c>
      <c r="G353" s="7">
        <f>SUMIFS(Лист2!$E:$E, Лист2!$A:$A, $A353, Лист2!$B:$B, $B353)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SUMIFS(Лист2!$C:$C, Лист2!$A:$A, $A354, Лист2!$B:$B, $B354)</f>
        <v>54</v>
      </c>
      <c r="F354" s="7">
        <f>SUMIFS(Лист2!$D:$D, Лист2!$A:$A, $A354, Лист2!$B:$B, $B354)</f>
        <v>14590</v>
      </c>
      <c r="G354" s="7">
        <f>SUMIFS(Лист2!$E:$E, Лист2!$A:$A, $A354, Лист2!$B:$B, $B354)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SUMIFS(Лист2!$C:$C, Лист2!$A:$A, $A355, Лист2!$B:$B, $B355)</f>
        <v>54</v>
      </c>
      <c r="F355" s="7">
        <f>SUMIFS(Лист2!$D:$D, Лист2!$A:$A, $A355, Лист2!$B:$B, $B355)</f>
        <v>12409</v>
      </c>
      <c r="G355" s="7">
        <f>SUMIFS(Лист2!$E:$E, Лист2!$A:$A, $A355, Лист2!$B:$B, $B355)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SUMIFS(Лист2!$C:$C, Лист2!$A:$A, $A356, Лист2!$B:$B, $B356)</f>
        <v>16</v>
      </c>
      <c r="F356" s="7">
        <f>SUMIFS(Лист2!$D:$D, Лист2!$A:$A, $A356, Лист2!$B:$B, $B356)</f>
        <v>920</v>
      </c>
      <c r="G356" s="7">
        <f>SUMIFS(Лист2!$E:$E, Лист2!$A:$A, $A356, Лист2!$B:$B, $B356)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SUMIFS(Лист2!$C:$C, Лист2!$A:$A, $A357, Лист2!$B:$B, $B357)</f>
        <v>17</v>
      </c>
      <c r="F357" s="7">
        <f>SUMIFS(Лист2!$D:$D, Лист2!$A:$A, $A357, Лист2!$B:$B, $B357)</f>
        <v>857</v>
      </c>
      <c r="G357" s="7">
        <f>SUMIFS(Лист2!$E:$E, Лист2!$A:$A, $A357, Лист2!$B:$B, $B357)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SUMIFS(Лист2!$C:$C, Лист2!$A:$A, $A358, Лист2!$B:$B, $B358)</f>
        <v>16</v>
      </c>
      <c r="F358" s="7">
        <f>SUMIFS(Лист2!$D:$D, Лист2!$A:$A, $A358, Лист2!$B:$B, $B358)</f>
        <v>859</v>
      </c>
      <c r="G358" s="7">
        <f>SUMIFS(Лист2!$E:$E, Лист2!$A:$A, $A358, Лист2!$B:$B, $B358)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SUMIFS(Лист2!$C:$C, Лист2!$A:$A, $A359, Лист2!$B:$B, $B359)</f>
        <v>15</v>
      </c>
      <c r="F359" s="7">
        <f>SUMIFS(Лист2!$D:$D, Лист2!$A:$A, $A359, Лист2!$B:$B, $B359)</f>
        <v>654</v>
      </c>
      <c r="G359" s="7">
        <f>SUMIFS(Лист2!$E:$E, Лист2!$A:$A, $A359, Лист2!$B:$B, $B359)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SUMIFS(Лист2!$C:$C, Лист2!$A:$A, $A360, Лист2!$B:$B, $B360)</f>
        <v>15</v>
      </c>
      <c r="F360" s="7">
        <f>SUMIFS(Лист2!$D:$D, Лист2!$A:$A, $A360, Лист2!$B:$B, $B360)</f>
        <v>622</v>
      </c>
      <c r="G360" s="7">
        <f>SUMIFS(Лист2!$E:$E, Лист2!$A:$A, $A360, Лист2!$B:$B, $B360)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SUMIFS(Лист2!$C:$C, Лист2!$A:$A, $A361, Лист2!$B:$B, $B361)</f>
        <v>15</v>
      </c>
      <c r="F361" s="7">
        <f>SUMIFS(Лист2!$D:$D, Лист2!$A:$A, $A361, Лист2!$B:$B, $B361)</f>
        <v>567</v>
      </c>
      <c r="G361" s="7">
        <f>SUMIFS(Лист2!$E:$E, Лист2!$A:$A, $A361, Лист2!$B:$B, $B361)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SUMIFS(Лист2!$C:$C, Лист2!$A:$A, $A362, Лист2!$B:$B, $B362)</f>
        <v>7</v>
      </c>
      <c r="F362" s="7">
        <f>SUMIFS(Лист2!$D:$D, Лист2!$A:$A, $A362, Лист2!$B:$B, $B362)</f>
        <v>577</v>
      </c>
      <c r="G362" s="7">
        <f>SUMIFS(Лист2!$E:$E, Лист2!$A:$A, $A362, Лист2!$B:$B, $B362)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SUMIFS(Лист2!$C:$C, Лист2!$A:$A, $A363, Лист2!$B:$B, $B363)</f>
        <v>15</v>
      </c>
      <c r="F363" s="7">
        <f>SUMIFS(Лист2!$D:$D, Лист2!$A:$A, $A363, Лист2!$B:$B, $B363)</f>
        <v>721</v>
      </c>
      <c r="G363" s="7">
        <f>SUMIFS(Лист2!$E:$E, Лист2!$A:$A, $A363, Лист2!$B:$B, $B363)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SUMIFS(Лист2!$C:$C, Лист2!$A:$A, $A364, Лист2!$B:$B, $B364)</f>
        <v>15</v>
      </c>
      <c r="F364" s="7">
        <f>SUMIFS(Лист2!$D:$D, Лист2!$A:$A, $A364, Лист2!$B:$B, $B364)</f>
        <v>750</v>
      </c>
      <c r="G364" s="7">
        <f>SUMIFS(Лист2!$E:$E, Лист2!$A:$A, $A364, Лист2!$B:$B, $B364)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SUMIFS(Лист2!$C:$C, Лист2!$A:$A, $A365, Лист2!$B:$B, $B365)</f>
        <v>18</v>
      </c>
      <c r="F365" s="7">
        <f>SUMIFS(Лист2!$D:$D, Лист2!$A:$A, $A365, Лист2!$B:$B, $B365)</f>
        <v>888</v>
      </c>
      <c r="G365" s="7">
        <f>SUMIFS(Лист2!$E:$E, Лист2!$A:$A, $A365, Лист2!$B:$B, $B365)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SUMIFS(Лист2!$C:$C, Лист2!$A:$A, $A366, Лист2!$B:$B, $B366)</f>
        <v>17</v>
      </c>
      <c r="F366" s="7">
        <f>SUMIFS(Лист2!$D:$D, Лист2!$A:$A, $A366, Лист2!$B:$B, $B366)</f>
        <v>890</v>
      </c>
      <c r="G366" s="7">
        <f>SUMIFS(Лист2!$E:$E, Лист2!$A:$A, $A366, Лист2!$B:$B, $B366)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SUMIFS(Лист2!$C:$C, Лист2!$A:$A, $A367, Лист2!$B:$B, $B367)</f>
        <v>15</v>
      </c>
      <c r="F367" s="7">
        <f>SUMIFS(Лист2!$D:$D, Лист2!$A:$A, $A367, Лист2!$B:$B, $B367)</f>
        <v>750</v>
      </c>
      <c r="G367" s="7">
        <f>SUMIFS(Лист2!$E:$E, Лист2!$A:$A, $A367, Лист2!$B:$B, $B367)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SUMIFS(Лист2!$C:$C, Лист2!$A:$A, $A368, Лист2!$B:$B, $B368)</f>
        <v>15</v>
      </c>
      <c r="F368" s="7">
        <f>SUMIFS(Лист2!$D:$D, Лист2!$A:$A, $A368, Лист2!$B:$B, $B368)</f>
        <v>854</v>
      </c>
      <c r="G368" s="7">
        <f>SUMIFS(Лист2!$E:$E, Лист2!$A:$A, $A368, Лист2!$B:$B, $B368)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5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SUMIFS(Лист2!$C:$C, Лист2!$A:$A, $A369, Лист2!$B:$B, $B369)</f>
        <v>15</v>
      </c>
      <c r="F369" s="7">
        <f>SUMIFS(Лист2!$D:$D, Лист2!$A:$A, $A369, Лист2!$B:$B, $B369)</f>
        <v>585</v>
      </c>
      <c r="G369" s="7">
        <f>SUMIFS(Лист2!$E:$E, Лист2!$A:$A, $A369, Лист2!$B:$B, $B369)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SUMIFS(Лист2!$C:$C, Лист2!$A:$A, $A370, Лист2!$B:$B, $B370)</f>
        <v>15</v>
      </c>
      <c r="F370" s="7">
        <f>SUMIFS(Лист2!$D:$D, Лист2!$A:$A, $A370, Лист2!$B:$B, $B370)</f>
        <v>701</v>
      </c>
      <c r="G370" s="7">
        <f>SUMIFS(Лист2!$E:$E, Лист2!$A:$A, $A370, Лист2!$B:$B, $B370)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SUMIFS(Лист2!$C:$C, Лист2!$A:$A, $A371, Лист2!$B:$B, $B371)</f>
        <v>18</v>
      </c>
      <c r="F371" s="7">
        <f>SUMIFS(Лист2!$D:$D, Лист2!$A:$A, $A371, Лист2!$B:$B, $B371)</f>
        <v>1031</v>
      </c>
      <c r="G371" s="7">
        <f>SUMIFS(Лист2!$E:$E, Лист2!$A:$A, $A371, Лист2!$B:$B, $B371)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SUMIFS(Лист2!$C:$C, Лист2!$A:$A, $A372, Лист2!$B:$B, $B372)</f>
        <v>18</v>
      </c>
      <c r="F372" s="7">
        <f>SUMIFS(Лист2!$D:$D, Лист2!$A:$A, $A372, Лист2!$B:$B, $B372)</f>
        <v>989</v>
      </c>
      <c r="G372" s="7">
        <f>SUMIFS(Лист2!$E:$E, Лист2!$A:$A, $A372, Лист2!$B:$B, $B372)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SUMIFS(Лист2!$C:$C, Лист2!$A:$A, $A373, Лист2!$B:$B, $B373)</f>
        <v>15</v>
      </c>
      <c r="F373" s="7">
        <f>SUMIFS(Лист2!$D:$D, Лист2!$A:$A, $A373, Лист2!$B:$B, $B373)</f>
        <v>644</v>
      </c>
      <c r="G373" s="7">
        <f>SUMIFS(Лист2!$E:$E, Лист2!$A:$A, $A373, Лист2!$B:$B, $B373)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SUMIFS(Лист2!$C:$C, Лист2!$A:$A, $A374, Лист2!$B:$B, $B374)</f>
        <v>15</v>
      </c>
      <c r="F374" s="7">
        <f>SUMIFS(Лист2!$D:$D, Лист2!$A:$A, $A374, Лист2!$B:$B, $B374)</f>
        <v>792</v>
      </c>
      <c r="G374" s="7">
        <f>SUMIFS(Лист2!$E:$E, Лист2!$A:$A, $A374, Лист2!$B:$B, $B374)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SUMIFS(Лист2!$C:$C, Лист2!$A:$A, $A375, Лист2!$B:$B, $B375)</f>
        <v>15</v>
      </c>
      <c r="F375" s="7">
        <f>SUMIFS(Лист2!$D:$D, Лист2!$A:$A, $A375, Лист2!$B:$B, $B375)</f>
        <v>703</v>
      </c>
      <c r="G375" s="7">
        <f>SUMIFS(Лист2!$E:$E, Лист2!$A:$A, $A375, Лист2!$B:$B, $B375)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SUMIFS(Лист2!$C:$C, Лист2!$A:$A, $A376, Лист2!$B:$B, $B376)</f>
        <v>15</v>
      </c>
      <c r="F376" s="7">
        <f>SUMIFS(Лист2!$D:$D, Лист2!$A:$A, $A376, Лист2!$B:$B, $B376)</f>
        <v>676</v>
      </c>
      <c r="G376" s="7">
        <f>SUMIFS(Лист2!$E:$E, Лист2!$A:$A, $A376, Лист2!$B:$B, $B376)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SUMIFS(Лист2!$C:$C, Лист2!$A:$A, $A377, Лист2!$B:$B, $B377)</f>
        <v>18</v>
      </c>
      <c r="F377" s="7">
        <f>SUMIFS(Лист2!$D:$D, Лист2!$A:$A, $A377, Лист2!$B:$B, $B377)</f>
        <v>1006</v>
      </c>
      <c r="G377" s="7">
        <f>SUMIFS(Лист2!$E:$E, Лист2!$A:$A, $A377, Лист2!$B:$B, $B377)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SUMIFS(Лист2!$C:$C, Лист2!$A:$A, $A378, Лист2!$B:$B, $B378)</f>
        <v>18</v>
      </c>
      <c r="F378" s="7">
        <f>SUMIFS(Лист2!$D:$D, Лист2!$A:$A, $A378, Лист2!$B:$B, $B378)</f>
        <v>914</v>
      </c>
      <c r="G378" s="7">
        <f>SUMIFS(Лист2!$E:$E, Лист2!$A:$A, $A378, Лист2!$B:$B, $B378)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5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SUMIFS(Лист2!$C:$C, Лист2!$A:$A, $A379, Лист2!$B:$B, $B379)</f>
        <v>15</v>
      </c>
      <c r="F379" s="7">
        <f>SUMIFS(Лист2!$D:$D, Лист2!$A:$A, $A379, Лист2!$B:$B, $B379)</f>
        <v>453</v>
      </c>
      <c r="G379" s="7">
        <f>SUMIFS(Лист2!$E:$E, Лист2!$A:$A, $A379, Лист2!$B:$B, $B379)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SUMIFS(Лист2!$C:$C, Лист2!$A:$A, $A380, Лист2!$B:$B, $B380)</f>
        <v>9</v>
      </c>
      <c r="F380" s="7">
        <f>SUMIFS(Лист2!$D:$D, Лист2!$A:$A, $A380, Лист2!$B:$B, $B380)</f>
        <v>345</v>
      </c>
      <c r="G380" s="7">
        <f>SUMIFS(Лист2!$E:$E, Лист2!$A:$A, $A380, Лист2!$B:$B, $B380)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SUMIFS(Лист2!$C:$C, Лист2!$A:$A, $A381, Лист2!$B:$B, $B381)</f>
        <v>7</v>
      </c>
      <c r="F381" s="7">
        <f>SUMIFS(Лист2!$D:$D, Лист2!$A:$A, $A381, Лист2!$B:$B, $B381)</f>
        <v>532</v>
      </c>
      <c r="G381" s="7">
        <f>SUMIFS(Лист2!$E:$E, Лист2!$A:$A, $A381, Лист2!$B:$B, $B381)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SUMIFS(Лист2!$C:$C, Лист2!$A:$A, $A382, Лист2!$B:$B, $B382)</f>
        <v>15</v>
      </c>
      <c r="F382" s="7">
        <f>SUMIFS(Лист2!$D:$D, Лист2!$A:$A, $A382, Лист2!$B:$B, $B382)</f>
        <v>400</v>
      </c>
      <c r="G382" s="7">
        <f>SUMIFS(Лист2!$E:$E, Лист2!$A:$A, $A382, Лист2!$B:$B, $B382)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SUMIFS(Лист2!$C:$C, Лист2!$A:$A, $A383, Лист2!$B:$B, $B383)</f>
        <v>7</v>
      </c>
      <c r="F383" s="7">
        <f>SUMIFS(Лист2!$D:$D, Лист2!$A:$A, $A383, Лист2!$B:$B, $B383)</f>
        <v>420</v>
      </c>
      <c r="G383" s="7">
        <f>SUMIFS(Лист2!$E:$E, Лист2!$A:$A, $A383, Лист2!$B:$B, $B383)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SUMIFS(Лист2!$C:$C, Лист2!$A:$A, $A384, Лист2!$B:$B, $B384)</f>
        <v>20</v>
      </c>
      <c r="F384" s="7">
        <f>SUMIFS(Лист2!$D:$D, Лист2!$A:$A, $A384, Лист2!$B:$B, $B384)</f>
        <v>2079</v>
      </c>
      <c r="G384" s="7">
        <f>SUMIFS(Лист2!$E:$E, Лист2!$A:$A, $A384, Лист2!$B:$B, $B384)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SUMIFS(Лист2!$C:$C, Лист2!$A:$A, $A385, Лист2!$B:$B, $B385)</f>
        <v>21</v>
      </c>
      <c r="F385" s="7">
        <f>SUMIFS(Лист2!$D:$D, Лист2!$A:$A, $A385, Лист2!$B:$B, $B385)</f>
        <v>2046</v>
      </c>
      <c r="G385" s="7">
        <f>SUMIFS(Лист2!$E:$E, Лист2!$A:$A, $A385, Лист2!$B:$B, $B385)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SUMIFS(Лист2!$C:$C, Лист2!$A:$A, $A386, Лист2!$B:$B, $B386)</f>
        <v>6</v>
      </c>
      <c r="F386" s="7">
        <f>SUMIFS(Лист2!$D:$D, Лист2!$A:$A, $A386, Лист2!$B:$B, $B386)</f>
        <v>261</v>
      </c>
      <c r="G386" s="7">
        <f>SUMIFS(Лист2!$E:$E, Лист2!$A:$A, $A386, Лист2!$B:$B, $B386)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SUMIFS(Лист2!$C:$C, Лист2!$A:$A, $A387, Лист2!$B:$B, $B387)</f>
        <v>21</v>
      </c>
      <c r="F387" s="7">
        <f>SUMIFS(Лист2!$D:$D, Лист2!$A:$A, $A387, Лист2!$B:$B, $B387)</f>
        <v>1597</v>
      </c>
      <c r="G387" s="7">
        <f>SUMIFS(Лист2!$E:$E, Лист2!$A:$A, $A387, Лист2!$B:$B, $B387)</f>
        <v>1457</v>
      </c>
      <c r="H387">
        <f t="shared" ref="H387:H450" si="12">IFERROR(D387/E387, 0)</f>
        <v>118066.5</v>
      </c>
      <c r="I387">
        <f t="shared" ref="I387:I450" si="13">WEEKNUM(A387, 2)</f>
        <v>20</v>
      </c>
    </row>
    <row r="388" spans="1:9" ht="14.25" customHeight="1" x14ac:dyDescent="0.3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SUMIFS(Лист2!$C:$C, Лист2!$A:$A, $A388, Лист2!$B:$B, $B388)</f>
        <v>18</v>
      </c>
      <c r="F388" s="7">
        <f>SUMIFS(Лист2!$D:$D, Лист2!$A:$A, $A388, Лист2!$B:$B, $B388)</f>
        <v>1216</v>
      </c>
      <c r="G388" s="7">
        <f>SUMIFS(Лист2!$E:$E, Лист2!$A:$A, $A388, Лист2!$B:$B, $B388)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SUMIFS(Лист2!$C:$C, Лист2!$A:$A, $A389, Лист2!$B:$B, $B389)</f>
        <v>18</v>
      </c>
      <c r="F389" s="7">
        <f>SUMIFS(Лист2!$D:$D, Лист2!$A:$A, $A389, Лист2!$B:$B, $B389)</f>
        <v>1020</v>
      </c>
      <c r="G389" s="7">
        <f>SUMIFS(Лист2!$E:$E, Лист2!$A:$A, $A389, Лист2!$B:$B, $B389)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SUMIFS(Лист2!$C:$C, Лист2!$A:$A, $A390, Лист2!$B:$B, $B390)</f>
        <v>21</v>
      </c>
      <c r="F390" s="7">
        <f>SUMIFS(Лист2!$D:$D, Лист2!$A:$A, $A390, Лист2!$B:$B, $B390)</f>
        <v>1834</v>
      </c>
      <c r="G390" s="7">
        <f>SUMIFS(Лист2!$E:$E, Лист2!$A:$A, $A390, Лист2!$B:$B, $B390)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SUMIFS(Лист2!$C:$C, Лист2!$A:$A, $A391, Лист2!$B:$B, $B391)</f>
        <v>21</v>
      </c>
      <c r="F391" s="7">
        <f>SUMIFS(Лист2!$D:$D, Лист2!$A:$A, $A391, Лист2!$B:$B, $B391)</f>
        <v>1706</v>
      </c>
      <c r="G391" s="7">
        <f>SUMIFS(Лист2!$E:$E, Лист2!$A:$A, $A391, Лист2!$B:$B, $B391)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SUMIFS(Лист2!$C:$C, Лист2!$A:$A, $A392, Лист2!$B:$B, $B392)</f>
        <v>21</v>
      </c>
      <c r="F392" s="7">
        <f>SUMIFS(Лист2!$D:$D, Лист2!$A:$A, $A392, Лист2!$B:$B, $B392)</f>
        <v>1926</v>
      </c>
      <c r="G392" s="7">
        <f>SUMIFS(Лист2!$E:$E, Лист2!$A:$A, $A392, Лист2!$B:$B, $B392)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SUMIFS(Лист2!$C:$C, Лист2!$A:$A, $A393, Лист2!$B:$B, $B393)</f>
        <v>21</v>
      </c>
      <c r="F393" s="7">
        <f>SUMIFS(Лист2!$D:$D, Лист2!$A:$A, $A393, Лист2!$B:$B, $B393)</f>
        <v>2025</v>
      </c>
      <c r="G393" s="7">
        <f>SUMIFS(Лист2!$E:$E, Лист2!$A:$A, $A393, Лист2!$B:$B, $B393)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SUMIFS(Лист2!$C:$C, Лист2!$A:$A, $A394, Лист2!$B:$B, $B394)</f>
        <v>7</v>
      </c>
      <c r="F394" s="7">
        <f>SUMIFS(Лист2!$D:$D, Лист2!$A:$A, $A394, Лист2!$B:$B, $B394)</f>
        <v>530</v>
      </c>
      <c r="G394" s="7">
        <f>SUMIFS(Лист2!$E:$E, Лист2!$A:$A, $A394, Лист2!$B:$B, $B394)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SUMIFS(Лист2!$C:$C, Лист2!$A:$A, $A395, Лист2!$B:$B, $B395)</f>
        <v>20</v>
      </c>
      <c r="F395" s="7">
        <f>SUMIFS(Лист2!$D:$D, Лист2!$A:$A, $A395, Лист2!$B:$B, $B395)</f>
        <v>2111</v>
      </c>
      <c r="G395" s="7">
        <f>SUMIFS(Лист2!$E:$E, Лист2!$A:$A, $A395, Лист2!$B:$B, $B395)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SUMIFS(Лист2!$C:$C, Лист2!$A:$A, $A396, Лист2!$B:$B, $B396)</f>
        <v>31</v>
      </c>
      <c r="F396" s="7">
        <f>SUMIFS(Лист2!$D:$D, Лист2!$A:$A, $A396, Лист2!$B:$B, $B396)</f>
        <v>5330</v>
      </c>
      <c r="G396" s="7">
        <f>SUMIFS(Лист2!$E:$E, Лист2!$A:$A, $A396, Лист2!$B:$B, $B396)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SUMIFS(Лист2!$C:$C, Лист2!$A:$A, $A397, Лист2!$B:$B, $B397)</f>
        <v>31</v>
      </c>
      <c r="F397" s="7">
        <f>SUMIFS(Лист2!$D:$D, Лист2!$A:$A, $A397, Лист2!$B:$B, $B397)</f>
        <v>5965</v>
      </c>
      <c r="G397" s="7">
        <f>SUMIFS(Лист2!$E:$E, Лист2!$A:$A, $A397, Лист2!$B:$B, $B397)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SUMIFS(Лист2!$C:$C, Лист2!$A:$A, $A398, Лист2!$B:$B, $B398)</f>
        <v>31</v>
      </c>
      <c r="F398" s="7">
        <f>SUMIFS(Лист2!$D:$D, Лист2!$A:$A, $A398, Лист2!$B:$B, $B398)</f>
        <v>5468</v>
      </c>
      <c r="G398" s="7">
        <f>SUMIFS(Лист2!$E:$E, Лист2!$A:$A, $A398, Лист2!$B:$B, $B398)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SUMIFS(Лист2!$C:$C, Лист2!$A:$A, $A399, Лист2!$B:$B, $B399)</f>
        <v>18</v>
      </c>
      <c r="F399" s="7">
        <f>SUMIFS(Лист2!$D:$D, Лист2!$A:$A, $A399, Лист2!$B:$B, $B399)</f>
        <v>1029</v>
      </c>
      <c r="G399" s="7">
        <f>SUMIFS(Лист2!$E:$E, Лист2!$A:$A, $A399, Лист2!$B:$B, $B399)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SUMIFS(Лист2!$C:$C, Лист2!$A:$A, $A400, Лист2!$B:$B, $B400)</f>
        <v>31</v>
      </c>
      <c r="F400" s="7">
        <f>SUMIFS(Лист2!$D:$D, Лист2!$A:$A, $A400, Лист2!$B:$B, $B400)</f>
        <v>4826</v>
      </c>
      <c r="G400" s="7">
        <f>SUMIFS(Лист2!$E:$E, Лист2!$A:$A, $A400, Лист2!$B:$B, $B400)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SUMIFS(Лист2!$C:$C, Лист2!$A:$A, $A401, Лист2!$B:$B, $B401)</f>
        <v>31</v>
      </c>
      <c r="F401" s="7">
        <f>SUMIFS(Лист2!$D:$D, Лист2!$A:$A, $A401, Лист2!$B:$B, $B401)</f>
        <v>5165</v>
      </c>
      <c r="G401" s="7">
        <f>SUMIFS(Лист2!$E:$E, Лист2!$A:$A, $A401, Лист2!$B:$B, $B401)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SUMIFS(Лист2!$C:$C, Лист2!$A:$A, $A402, Лист2!$B:$B, $B402)</f>
        <v>31</v>
      </c>
      <c r="F402" s="7">
        <f>SUMIFS(Лист2!$D:$D, Лист2!$A:$A, $A402, Лист2!$B:$B, $B402)</f>
        <v>4695</v>
      </c>
      <c r="G402" s="7">
        <f>SUMIFS(Лист2!$E:$E, Лист2!$A:$A, $A402, Лист2!$B:$B, $B402)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SUMIFS(Лист2!$C:$C, Лист2!$A:$A, $A403, Лист2!$B:$B, $B403)</f>
        <v>31</v>
      </c>
      <c r="F403" s="7">
        <f>SUMIFS(Лист2!$D:$D, Лист2!$A:$A, $A403, Лист2!$B:$B, $B403)</f>
        <v>5184</v>
      </c>
      <c r="G403" s="7">
        <f>SUMIFS(Лист2!$E:$E, Лист2!$A:$A, $A403, Лист2!$B:$B, $B403)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SUMIFS(Лист2!$C:$C, Лист2!$A:$A, $A404, Лист2!$B:$B, $B404)</f>
        <v>10</v>
      </c>
      <c r="F404" s="7">
        <f>SUMIFS(Лист2!$D:$D, Лист2!$A:$A, $A404, Лист2!$B:$B, $B404)</f>
        <v>757</v>
      </c>
      <c r="G404" s="7">
        <f>SUMIFS(Лист2!$E:$E, Лист2!$A:$A, $A404, Лист2!$B:$B, $B404)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SUMIFS(Лист2!$C:$C, Лист2!$A:$A, $A405, Лист2!$B:$B, $B405)</f>
        <v>10</v>
      </c>
      <c r="F405" s="7">
        <f>SUMIFS(Лист2!$D:$D, Лист2!$A:$A, $A405, Лист2!$B:$B, $B405)</f>
        <v>965</v>
      </c>
      <c r="G405" s="7">
        <f>SUMIFS(Лист2!$E:$E, Лист2!$A:$A, $A405, Лист2!$B:$B, $B405)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SUMIFS(Лист2!$C:$C, Лист2!$A:$A, $A406, Лист2!$B:$B, $B406)</f>
        <v>10</v>
      </c>
      <c r="F406" s="7">
        <f>SUMIFS(Лист2!$D:$D, Лист2!$A:$A, $A406, Лист2!$B:$B, $B406)</f>
        <v>719</v>
      </c>
      <c r="G406" s="7">
        <f>SUMIFS(Лист2!$E:$E, Лист2!$A:$A, $A406, Лист2!$B:$B, $B406)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SUMIFS(Лист2!$C:$C, Лист2!$A:$A, $A407, Лист2!$B:$B, $B407)</f>
        <v>10</v>
      </c>
      <c r="F407" s="7">
        <f>SUMIFS(Лист2!$D:$D, Лист2!$A:$A, $A407, Лист2!$B:$B, $B407)</f>
        <v>494</v>
      </c>
      <c r="G407" s="7">
        <f>SUMIFS(Лист2!$E:$E, Лист2!$A:$A, $A407, Лист2!$B:$B, $B407)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SUMIFS(Лист2!$C:$C, Лист2!$A:$A, $A408, Лист2!$B:$B, $B408)</f>
        <v>31</v>
      </c>
      <c r="F408" s="7">
        <f>SUMIFS(Лист2!$D:$D, Лист2!$A:$A, $A408, Лист2!$B:$B, $B408)</f>
        <v>5751</v>
      </c>
      <c r="G408" s="7">
        <f>SUMIFS(Лист2!$E:$E, Лист2!$A:$A, $A408, Лист2!$B:$B, $B408)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SUMIFS(Лист2!$C:$C, Лист2!$A:$A, $A409, Лист2!$B:$B, $B409)</f>
        <v>10</v>
      </c>
      <c r="F409" s="7">
        <f>SUMIFS(Лист2!$D:$D, Лист2!$A:$A, $A409, Лист2!$B:$B, $B409)</f>
        <v>645</v>
      </c>
      <c r="G409" s="7">
        <f>SUMIFS(Лист2!$E:$E, Лист2!$A:$A, $A409, Лист2!$B:$B, $B409)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SUMIFS(Лист2!$C:$C, Лист2!$A:$A, $A410, Лист2!$B:$B, $B410)</f>
        <v>10</v>
      </c>
      <c r="F410" s="7">
        <f>SUMIFS(Лист2!$D:$D, Лист2!$A:$A, $A410, Лист2!$B:$B, $B410)</f>
        <v>627</v>
      </c>
      <c r="G410" s="7">
        <f>SUMIFS(Лист2!$E:$E, Лист2!$A:$A, $A410, Лист2!$B:$B, $B410)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SUMIFS(Лист2!$C:$C, Лист2!$A:$A, $A411, Лист2!$B:$B, $B411)</f>
        <v>10</v>
      </c>
      <c r="F411" s="7">
        <f>SUMIFS(Лист2!$D:$D, Лист2!$A:$A, $A411, Лист2!$B:$B, $B411)</f>
        <v>743</v>
      </c>
      <c r="G411" s="7">
        <f>SUMIFS(Лист2!$E:$E, Лист2!$A:$A, $A411, Лист2!$B:$B, $B411)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SUMIFS(Лист2!$C:$C, Лист2!$A:$A, $A412, Лист2!$B:$B, $B412)</f>
        <v>10</v>
      </c>
      <c r="F412" s="7">
        <f>SUMIFS(Лист2!$D:$D, Лист2!$A:$A, $A412, Лист2!$B:$B, $B412)</f>
        <v>873</v>
      </c>
      <c r="G412" s="7">
        <f>SUMIFS(Лист2!$E:$E, Лист2!$A:$A, $A412, Лист2!$B:$B, $B412)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SUMIFS(Лист2!$C:$C, Лист2!$A:$A, $A413, Лист2!$B:$B, $B413)</f>
        <v>20</v>
      </c>
      <c r="F413" s="7">
        <f>SUMIFS(Лист2!$D:$D, Лист2!$A:$A, $A413, Лист2!$B:$B, $B413)</f>
        <v>2079</v>
      </c>
      <c r="G413" s="7">
        <f>SUMIFS(Лист2!$E:$E, Лист2!$A:$A, $A413, Лист2!$B:$B, $B413)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SUMIFS(Лист2!$C:$C, Лист2!$A:$A, $A414, Лист2!$B:$B, $B414)</f>
        <v>20</v>
      </c>
      <c r="F414" s="7">
        <f>SUMIFS(Лист2!$D:$D, Лист2!$A:$A, $A414, Лист2!$B:$B, $B414)</f>
        <v>2306</v>
      </c>
      <c r="G414" s="7">
        <f>SUMIFS(Лист2!$E:$E, Лист2!$A:$A, $A414, Лист2!$B:$B, $B414)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SUMIFS(Лист2!$C:$C, Лист2!$A:$A, $A415, Лист2!$B:$B, $B415)</f>
        <v>20</v>
      </c>
      <c r="F415" s="7">
        <f>SUMIFS(Лист2!$D:$D, Лист2!$A:$A, $A415, Лист2!$B:$B, $B415)</f>
        <v>2136</v>
      </c>
      <c r="G415" s="7">
        <f>SUMIFS(Лист2!$E:$E, Лист2!$A:$A, $A415, Лист2!$B:$B, $B415)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SUMIFS(Лист2!$C:$C, Лист2!$A:$A, $A416, Лист2!$B:$B, $B416)</f>
        <v>19</v>
      </c>
      <c r="F416" s="7">
        <f>SUMIFS(Лист2!$D:$D, Лист2!$A:$A, $A416, Лист2!$B:$B, $B416)</f>
        <v>2530</v>
      </c>
      <c r="G416" s="7">
        <f>SUMIFS(Лист2!$E:$E, Лист2!$A:$A, $A416, Лист2!$B:$B, $B416)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SUMIFS(Лист2!$C:$C, Лист2!$A:$A, $A417, Лист2!$B:$B, $B417)</f>
        <v>19</v>
      </c>
      <c r="F417" s="7">
        <f>SUMIFS(Лист2!$D:$D, Лист2!$A:$A, $A417, Лист2!$B:$B, $B417)</f>
        <v>1858</v>
      </c>
      <c r="G417" s="7">
        <f>SUMIFS(Лист2!$E:$E, Лист2!$A:$A, $A417, Лист2!$B:$B, $B417)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SUMIFS(Лист2!$C:$C, Лист2!$A:$A, $A418, Лист2!$B:$B, $B418)</f>
        <v>19</v>
      </c>
      <c r="F418" s="7">
        <f>SUMIFS(Лист2!$D:$D, Лист2!$A:$A, $A418, Лист2!$B:$B, $B418)</f>
        <v>1675</v>
      </c>
      <c r="G418" s="7">
        <f>SUMIFS(Лист2!$E:$E, Лист2!$A:$A, $A418, Лист2!$B:$B, $B418)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SUMIFS(Лист2!$C:$C, Лист2!$A:$A, $A419, Лист2!$B:$B, $B419)</f>
        <v>19</v>
      </c>
      <c r="F419" s="7">
        <f>SUMIFS(Лист2!$D:$D, Лист2!$A:$A, $A419, Лист2!$B:$B, $B419)</f>
        <v>1940</v>
      </c>
      <c r="G419" s="7">
        <f>SUMIFS(Лист2!$E:$E, Лист2!$A:$A, $A419, Лист2!$B:$B, $B419)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SUMIFS(Лист2!$C:$C, Лист2!$A:$A, $A420, Лист2!$B:$B, $B420)</f>
        <v>20</v>
      </c>
      <c r="F420" s="7">
        <f>SUMIFS(Лист2!$D:$D, Лист2!$A:$A, $A420, Лист2!$B:$B, $B420)</f>
        <v>2249</v>
      </c>
      <c r="G420" s="7">
        <f>SUMIFS(Лист2!$E:$E, Лист2!$A:$A, $A420, Лист2!$B:$B, $B420)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SUMIFS(Лист2!$C:$C, Лист2!$A:$A, $A421, Лист2!$B:$B, $B421)</f>
        <v>129</v>
      </c>
      <c r="F421" s="7">
        <f>SUMIFS(Лист2!$D:$D, Лист2!$A:$A, $A421, Лист2!$B:$B, $B421)</f>
        <v>17115</v>
      </c>
      <c r="G421" s="7">
        <f>SUMIFS(Лист2!$E:$E, Лист2!$A:$A, $A421, Лист2!$B:$B, $B421)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SUMIFS(Лист2!$C:$C, Лист2!$A:$A, $A422, Лист2!$B:$B, $B422)</f>
        <v>129</v>
      </c>
      <c r="F422" s="7">
        <f>SUMIFS(Лист2!$D:$D, Лист2!$A:$A, $A422, Лист2!$B:$B, $B422)</f>
        <v>17088</v>
      </c>
      <c r="G422" s="7">
        <f>SUMIFS(Лист2!$E:$E, Лист2!$A:$A, $A422, Лист2!$B:$B, $B422)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SUMIFS(Лист2!$C:$C, Лист2!$A:$A, $A423, Лист2!$B:$B, $B423)</f>
        <v>128</v>
      </c>
      <c r="F423" s="7">
        <f>SUMIFS(Лист2!$D:$D, Лист2!$A:$A, $A423, Лист2!$B:$B, $B423)</f>
        <v>16285</v>
      </c>
      <c r="G423" s="7">
        <f>SUMIFS(Лист2!$E:$E, Лист2!$A:$A, $A423, Лист2!$B:$B, $B423)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SUMIFS(Лист2!$C:$C, Лист2!$A:$A, $A424, Лист2!$B:$B, $B424)</f>
        <v>129</v>
      </c>
      <c r="F424" s="7">
        <f>SUMIFS(Лист2!$D:$D, Лист2!$A:$A, $A424, Лист2!$B:$B, $B424)</f>
        <v>14043</v>
      </c>
      <c r="G424" s="7">
        <f>SUMIFS(Лист2!$E:$E, Лист2!$A:$A, $A424, Лист2!$B:$B, $B424)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SUMIFS(Лист2!$C:$C, Лист2!$A:$A, $A425, Лист2!$B:$B, $B425)</f>
        <v>129</v>
      </c>
      <c r="F425" s="7">
        <f>SUMIFS(Лист2!$D:$D, Лист2!$A:$A, $A425, Лист2!$B:$B, $B425)</f>
        <v>16110</v>
      </c>
      <c r="G425" s="7">
        <f>SUMIFS(Лист2!$E:$E, Лист2!$A:$A, $A425, Лист2!$B:$B, $B425)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SUMIFS(Лист2!$C:$C, Лист2!$A:$A, $A426, Лист2!$B:$B, $B426)</f>
        <v>129</v>
      </c>
      <c r="F426" s="7">
        <f>SUMIFS(Лист2!$D:$D, Лист2!$A:$A, $A426, Лист2!$B:$B, $B426)</f>
        <v>15804</v>
      </c>
      <c r="G426" s="7">
        <f>SUMIFS(Лист2!$E:$E, Лист2!$A:$A, $A426, Лист2!$B:$B, $B426)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SUMIFS(Лист2!$C:$C, Лист2!$A:$A, $A427, Лист2!$B:$B, $B427)</f>
        <v>129</v>
      </c>
      <c r="F427" s="7">
        <f>SUMIFS(Лист2!$D:$D, Лист2!$A:$A, $A427, Лист2!$B:$B, $B427)</f>
        <v>17808</v>
      </c>
      <c r="G427" s="7">
        <f>SUMIFS(Лист2!$E:$E, Лист2!$A:$A, $A427, Лист2!$B:$B, $B427)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SUMIFS(Лист2!$C:$C, Лист2!$A:$A, $A428, Лист2!$B:$B, $B428)</f>
        <v>124</v>
      </c>
      <c r="F428" s="7">
        <f>SUMIFS(Лист2!$D:$D, Лист2!$A:$A, $A428, Лист2!$B:$B, $B428)</f>
        <v>21384</v>
      </c>
      <c r="G428" s="7">
        <f>SUMIFS(Лист2!$E:$E, Лист2!$A:$A, $A428, Лист2!$B:$B, $B428)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SUMIFS(Лист2!$C:$C, Лист2!$A:$A, $A429, Лист2!$B:$B, $B429)</f>
        <v>125</v>
      </c>
      <c r="F429" s="7">
        <f>SUMIFS(Лист2!$D:$D, Лист2!$A:$A, $A429, Лист2!$B:$B, $B429)</f>
        <v>21427</v>
      </c>
      <c r="G429" s="7">
        <f>SUMIFS(Лист2!$E:$E, Лист2!$A:$A, $A429, Лист2!$B:$B, $B429)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SUMIFS(Лист2!$C:$C, Лист2!$A:$A, $A430, Лист2!$B:$B, $B430)</f>
        <v>123</v>
      </c>
      <c r="F430" s="7">
        <f>SUMIFS(Лист2!$D:$D, Лист2!$A:$A, $A430, Лист2!$B:$B, $B430)</f>
        <v>20325</v>
      </c>
      <c r="G430" s="7">
        <f>SUMIFS(Лист2!$E:$E, Лист2!$A:$A, $A430, Лист2!$B:$B, $B430)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SUMIFS(Лист2!$C:$C, Лист2!$A:$A, $A431, Лист2!$B:$B, $B431)</f>
        <v>125</v>
      </c>
      <c r="F431" s="7">
        <f>SUMIFS(Лист2!$D:$D, Лист2!$A:$A, $A431, Лист2!$B:$B, $B431)</f>
        <v>18066</v>
      </c>
      <c r="G431" s="7">
        <f>SUMIFS(Лист2!$E:$E, Лист2!$A:$A, $A431, Лист2!$B:$B, $B431)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SUMIFS(Лист2!$C:$C, Лист2!$A:$A, $A432, Лист2!$B:$B, $B432)</f>
        <v>129</v>
      </c>
      <c r="F432" s="7">
        <f>SUMIFS(Лист2!$D:$D, Лист2!$A:$A, $A432, Лист2!$B:$B, $B432)</f>
        <v>22403</v>
      </c>
      <c r="G432" s="7">
        <f>SUMIFS(Лист2!$E:$E, Лист2!$A:$A, $A432, Лист2!$B:$B, $B432)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SUMIFS(Лист2!$C:$C, Лист2!$A:$A, $A433, Лист2!$B:$B, $B433)</f>
        <v>125</v>
      </c>
      <c r="F433" s="7">
        <f>SUMIFS(Лист2!$D:$D, Лист2!$A:$A, $A433, Лист2!$B:$B, $B433)</f>
        <v>20449</v>
      </c>
      <c r="G433" s="7">
        <f>SUMIFS(Лист2!$E:$E, Лист2!$A:$A, $A433, Лист2!$B:$B, $B433)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SUMIFS(Лист2!$C:$C, Лист2!$A:$A, $A434, Лист2!$B:$B, $B434)</f>
        <v>125</v>
      </c>
      <c r="F434" s="7">
        <f>SUMIFS(Лист2!$D:$D, Лист2!$A:$A, $A434, Лист2!$B:$B, $B434)</f>
        <v>20247</v>
      </c>
      <c r="G434" s="7">
        <f>SUMIFS(Лист2!$E:$E, Лист2!$A:$A, $A434, Лист2!$B:$B, $B434)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SUMIFS(Лист2!$C:$C, Лист2!$A:$A, $A435, Лист2!$B:$B, $B435)</f>
        <v>125</v>
      </c>
      <c r="F435" s="7">
        <f>SUMIFS(Лист2!$D:$D, Лист2!$A:$A, $A435, Лист2!$B:$B, $B435)</f>
        <v>21862</v>
      </c>
      <c r="G435" s="7">
        <f>SUMIFS(Лист2!$E:$E, Лист2!$A:$A, $A435, Лист2!$B:$B, $B435)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SUMIFS(Лист2!$C:$C, Лист2!$A:$A, $A436, Лист2!$B:$B, $B436)</f>
        <v>36</v>
      </c>
      <c r="F436" s="7">
        <f>SUMIFS(Лист2!$D:$D, Лист2!$A:$A, $A436, Лист2!$B:$B, $B436)</f>
        <v>4951</v>
      </c>
      <c r="G436" s="7">
        <f>SUMIFS(Лист2!$E:$E, Лист2!$A:$A, $A436, Лист2!$B:$B, $B436)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SUMIFS(Лист2!$C:$C, Лист2!$A:$A, $A437, Лист2!$B:$B, $B437)</f>
        <v>36</v>
      </c>
      <c r="F437" s="7">
        <f>SUMIFS(Лист2!$D:$D, Лист2!$A:$A, $A437, Лист2!$B:$B, $B437)</f>
        <v>4857</v>
      </c>
      <c r="G437" s="7">
        <f>SUMIFS(Лист2!$E:$E, Лист2!$A:$A, $A437, Лист2!$B:$B, $B437)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SUMIFS(Лист2!$C:$C, Лист2!$A:$A, $A438, Лист2!$B:$B, $B438)</f>
        <v>37</v>
      </c>
      <c r="F438" s="7">
        <f>SUMIFS(Лист2!$D:$D, Лист2!$A:$A, $A438, Лист2!$B:$B, $B438)</f>
        <v>4722</v>
      </c>
      <c r="G438" s="7">
        <f>SUMIFS(Лист2!$E:$E, Лист2!$A:$A, $A438, Лист2!$B:$B, $B438)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SUMIFS(Лист2!$C:$C, Лист2!$A:$A, $A439, Лист2!$B:$B, $B439)</f>
        <v>36</v>
      </c>
      <c r="F439" s="7">
        <f>SUMIFS(Лист2!$D:$D, Лист2!$A:$A, $A439, Лист2!$B:$B, $B439)</f>
        <v>4150</v>
      </c>
      <c r="G439" s="7">
        <f>SUMIFS(Лист2!$E:$E, Лист2!$A:$A, $A439, Лист2!$B:$B, $B439)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SUMIFS(Лист2!$C:$C, Лист2!$A:$A, $A440, Лист2!$B:$B, $B440)</f>
        <v>124</v>
      </c>
      <c r="F440" s="7">
        <f>SUMIFS(Лист2!$D:$D, Лист2!$A:$A, $A440, Лист2!$B:$B, $B440)</f>
        <v>25828</v>
      </c>
      <c r="G440" s="7">
        <f>SUMIFS(Лист2!$E:$E, Лист2!$A:$A, $A440, Лист2!$B:$B, $B440)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SUMIFS(Лист2!$C:$C, Лист2!$A:$A, $A441, Лист2!$B:$B, $B441)</f>
        <v>36</v>
      </c>
      <c r="F441" s="7">
        <f>SUMIFS(Лист2!$D:$D, Лист2!$A:$A, $A441, Лист2!$B:$B, $B441)</f>
        <v>4885</v>
      </c>
      <c r="G441" s="7">
        <f>SUMIFS(Лист2!$E:$E, Лист2!$A:$A, $A441, Лист2!$B:$B, $B441)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SUMIFS(Лист2!$C:$C, Лист2!$A:$A, $A442, Лист2!$B:$B, $B442)</f>
        <v>36</v>
      </c>
      <c r="F442" s="7">
        <f>SUMIFS(Лист2!$D:$D, Лист2!$A:$A, $A442, Лист2!$B:$B, $B442)</f>
        <v>4285</v>
      </c>
      <c r="G442" s="7">
        <f>SUMIFS(Лист2!$E:$E, Лист2!$A:$A, $A442, Лист2!$B:$B, $B442)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SUMIFS(Лист2!$C:$C, Лист2!$A:$A, $A443, Лист2!$B:$B, $B443)</f>
        <v>36</v>
      </c>
      <c r="F443" s="7">
        <f>SUMIFS(Лист2!$D:$D, Лист2!$A:$A, $A443, Лист2!$B:$B, $B443)</f>
        <v>4862</v>
      </c>
      <c r="G443" s="7">
        <f>SUMIFS(Лист2!$E:$E, Лист2!$A:$A, $A443, Лист2!$B:$B, $B443)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SUMIFS(Лист2!$C:$C, Лист2!$A:$A, $A444, Лист2!$B:$B, $B444)</f>
        <v>21</v>
      </c>
      <c r="F444" s="7">
        <f>SUMIFS(Лист2!$D:$D, Лист2!$A:$A, $A444, Лист2!$B:$B, $B444)</f>
        <v>2430</v>
      </c>
      <c r="G444" s="7">
        <f>SUMIFS(Лист2!$E:$E, Лист2!$A:$A, $A444, Лист2!$B:$B, $B444)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SUMIFS(Лист2!$C:$C, Лист2!$A:$A, $A445, Лист2!$B:$B, $B445)</f>
        <v>21</v>
      </c>
      <c r="F445" s="7">
        <f>SUMIFS(Лист2!$D:$D, Лист2!$A:$A, $A445, Лист2!$B:$B, $B445)</f>
        <v>2861</v>
      </c>
      <c r="G445" s="7">
        <f>SUMIFS(Лист2!$E:$E, Лист2!$A:$A, $A445, Лист2!$B:$B, $B445)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SUMIFS(Лист2!$C:$C, Лист2!$A:$A, $A446, Лист2!$B:$B, $B446)</f>
        <v>23</v>
      </c>
      <c r="F446" s="7">
        <f>SUMIFS(Лист2!$D:$D, Лист2!$A:$A, $A446, Лист2!$B:$B, $B446)</f>
        <v>2531</v>
      </c>
      <c r="G446" s="7">
        <f>SUMIFS(Лист2!$E:$E, Лист2!$A:$A, $A446, Лист2!$B:$B, $B446)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SUMIFS(Лист2!$C:$C, Лист2!$A:$A, $A447, Лист2!$B:$B, $B447)</f>
        <v>21</v>
      </c>
      <c r="F447" s="7">
        <f>SUMIFS(Лист2!$D:$D, Лист2!$A:$A, $A447, Лист2!$B:$B, $B447)</f>
        <v>1916</v>
      </c>
      <c r="G447" s="7">
        <f>SUMIFS(Лист2!$E:$E, Лист2!$A:$A, $A447, Лист2!$B:$B, $B447)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SUMIFS(Лист2!$C:$C, Лист2!$A:$A, $A448, Лист2!$B:$B, $B448)</f>
        <v>37</v>
      </c>
      <c r="F448" s="7">
        <f>SUMIFS(Лист2!$D:$D, Лист2!$A:$A, $A448, Лист2!$B:$B, $B448)</f>
        <v>5672</v>
      </c>
      <c r="G448" s="7">
        <f>SUMIFS(Лист2!$E:$E, Лист2!$A:$A, $A448, Лист2!$B:$B, $B448)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SUMIFS(Лист2!$C:$C, Лист2!$A:$A, $A449, Лист2!$B:$B, $B449)</f>
        <v>21</v>
      </c>
      <c r="F449" s="7">
        <f>SUMIFS(Лист2!$D:$D, Лист2!$A:$A, $A449, Лист2!$B:$B, $B449)</f>
        <v>2136</v>
      </c>
      <c r="G449" s="7">
        <f>SUMIFS(Лист2!$E:$E, Лист2!$A:$A, $A449, Лист2!$B:$B, $B449)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SUMIFS(Лист2!$C:$C, Лист2!$A:$A, $A450, Лист2!$B:$B, $B450)</f>
        <v>21</v>
      </c>
      <c r="F450" s="7">
        <f>SUMIFS(Лист2!$D:$D, Лист2!$A:$A, $A450, Лист2!$B:$B, $B450)</f>
        <v>1993</v>
      </c>
      <c r="G450" s="7">
        <f>SUMIFS(Лист2!$E:$E, Лист2!$A:$A, $A450, Лист2!$B:$B, $B450)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SUMIFS(Лист2!$C:$C, Лист2!$A:$A, $A451, Лист2!$B:$B, $B451)</f>
        <v>21</v>
      </c>
      <c r="F451" s="7">
        <f>SUMIFS(Лист2!$D:$D, Лист2!$A:$A, $A451, Лист2!$B:$B, $B451)</f>
        <v>2255</v>
      </c>
      <c r="G451" s="7">
        <f>SUMIFS(Лист2!$E:$E, Лист2!$A:$A, $A451, Лист2!$B:$B, $B451)</f>
        <v>2045</v>
      </c>
      <c r="H451">
        <f t="shared" ref="H451:H505" si="14">IFERROR(D451/E451, 0)</f>
        <v>179631.35714285713</v>
      </c>
      <c r="I451">
        <f t="shared" ref="I451:I505" si="15">WEEKNUM(A451, 2)</f>
        <v>20</v>
      </c>
    </row>
    <row r="452" spans="1:9" ht="14.25" customHeight="1" x14ac:dyDescent="0.3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SUMIFS(Лист2!$C:$C, Лист2!$A:$A, $A452, Лист2!$B:$B, $B452)</f>
        <v>22</v>
      </c>
      <c r="F452" s="7">
        <f>SUMIFS(Лист2!$D:$D, Лист2!$A:$A, $A452, Лист2!$B:$B, $B452)</f>
        <v>2597</v>
      </c>
      <c r="G452" s="7">
        <f>SUMIFS(Лист2!$E:$E, Лист2!$A:$A, $A452, Лист2!$B:$B, $B452)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SUMIFS(Лист2!$C:$C, Лист2!$A:$A, $A453, Лист2!$B:$B, $B453)</f>
        <v>17</v>
      </c>
      <c r="F453" s="7">
        <f>SUMIFS(Лист2!$D:$D, Лист2!$A:$A, $A453, Лист2!$B:$B, $B453)</f>
        <v>1203</v>
      </c>
      <c r="G453" s="7">
        <f>SUMIFS(Лист2!$E:$E, Лист2!$A:$A, $A453, Лист2!$B:$B, $B453)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SUMIFS(Лист2!$C:$C, Лист2!$A:$A, $A454, Лист2!$B:$B, $B454)</f>
        <v>17</v>
      </c>
      <c r="F454" s="7">
        <f>SUMIFS(Лист2!$D:$D, Лист2!$A:$A, $A454, Лист2!$B:$B, $B454)</f>
        <v>1268</v>
      </c>
      <c r="G454" s="7">
        <f>SUMIFS(Лист2!$E:$E, Лист2!$A:$A, $A454, Лист2!$B:$B, $B454)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SUMIFS(Лист2!$C:$C, Лист2!$A:$A, $A455, Лист2!$B:$B, $B455)</f>
        <v>17</v>
      </c>
      <c r="F455" s="7">
        <f>SUMIFS(Лист2!$D:$D, Лист2!$A:$A, $A455, Лист2!$B:$B, $B455)</f>
        <v>1185</v>
      </c>
      <c r="G455" s="7">
        <f>SUMIFS(Лист2!$E:$E, Лист2!$A:$A, $A455, Лист2!$B:$B, $B455)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SUMIFS(Лист2!$C:$C, Лист2!$A:$A, $A456, Лист2!$B:$B, $B456)</f>
        <v>15</v>
      </c>
      <c r="F456" s="7">
        <f>SUMIFS(Лист2!$D:$D, Лист2!$A:$A, $A456, Лист2!$B:$B, $B456)</f>
        <v>812</v>
      </c>
      <c r="G456" s="7">
        <f>SUMIFS(Лист2!$E:$E, Лист2!$A:$A, $A456, Лист2!$B:$B, $B456)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SUMIFS(Лист2!$C:$C, Лист2!$A:$A, $A457, Лист2!$B:$B, $B457)</f>
        <v>16</v>
      </c>
      <c r="F457" s="7">
        <f>SUMIFS(Лист2!$D:$D, Лист2!$A:$A, $A457, Лист2!$B:$B, $B457)</f>
        <v>925</v>
      </c>
      <c r="G457" s="7">
        <f>SUMIFS(Лист2!$E:$E, Лист2!$A:$A, $A457, Лист2!$B:$B, $B457)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SUMIFS(Лист2!$C:$C, Лист2!$A:$A, $A458, Лист2!$B:$B, $B458)</f>
        <v>15</v>
      </c>
      <c r="F458" s="7">
        <f>SUMIFS(Лист2!$D:$D, Лист2!$A:$A, $A458, Лист2!$B:$B, $B458)</f>
        <v>890</v>
      </c>
      <c r="G458" s="7">
        <f>SUMIFS(Лист2!$E:$E, Лист2!$A:$A, $A458, Лист2!$B:$B, $B458)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SUMIFS(Лист2!$C:$C, Лист2!$A:$A, $A459, Лист2!$B:$B, $B459)</f>
        <v>15</v>
      </c>
      <c r="F459" s="7">
        <f>SUMIFS(Лист2!$D:$D, Лист2!$A:$A, $A459, Лист2!$B:$B, $B459)</f>
        <v>980</v>
      </c>
      <c r="G459" s="7">
        <f>SUMIFS(Лист2!$E:$E, Лист2!$A:$A, $A459, Лист2!$B:$B, $B459)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SUMIFS(Лист2!$C:$C, Лист2!$A:$A, $A460, Лист2!$B:$B, $B460)</f>
        <v>15</v>
      </c>
      <c r="F460" s="7">
        <f>SUMIFS(Лист2!$D:$D, Лист2!$A:$A, $A460, Лист2!$B:$B, $B460)</f>
        <v>809</v>
      </c>
      <c r="G460" s="7">
        <f>SUMIFS(Лист2!$E:$E, Лист2!$A:$A, $A460, Лист2!$B:$B, $B460)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SUMIFS(Лист2!$C:$C, Лист2!$A:$A, $A461, Лист2!$B:$B, $B461)</f>
        <v>15</v>
      </c>
      <c r="F461" s="7">
        <f>SUMIFS(Лист2!$D:$D, Лист2!$A:$A, $A461, Лист2!$B:$B, $B461)</f>
        <v>903</v>
      </c>
      <c r="G461" s="7">
        <f>SUMIFS(Лист2!$E:$E, Лист2!$A:$A, $A461, Лист2!$B:$B, $B461)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SUMIFS(Лист2!$C:$C, Лист2!$A:$A, $A462, Лист2!$B:$B, $B462)</f>
        <v>16</v>
      </c>
      <c r="F462" s="7">
        <f>SUMIFS(Лист2!$D:$D, Лист2!$A:$A, $A462, Лист2!$B:$B, $B462)</f>
        <v>1019</v>
      </c>
      <c r="G462" s="7">
        <f>SUMIFS(Лист2!$E:$E, Лист2!$A:$A, $A462, Лист2!$B:$B, $B462)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SUMIFS(Лист2!$C:$C, Лист2!$A:$A, $A463, Лист2!$B:$B, $B463)</f>
        <v>15</v>
      </c>
      <c r="F463" s="7">
        <f>SUMIFS(Лист2!$D:$D, Лист2!$A:$A, $A463, Лист2!$B:$B, $B463)</f>
        <v>684</v>
      </c>
      <c r="G463" s="7">
        <f>SUMIFS(Лист2!$E:$E, Лист2!$A:$A, $A463, Лист2!$B:$B, $B463)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SUMIFS(Лист2!$C:$C, Лист2!$A:$A, $A464, Лист2!$B:$B, $B464)</f>
        <v>17</v>
      </c>
      <c r="F464" s="7">
        <f>SUMIFS(Лист2!$D:$D, Лист2!$A:$A, $A464, Лист2!$B:$B, $B464)</f>
        <v>1296</v>
      </c>
      <c r="G464" s="7">
        <f>SUMIFS(Лист2!$E:$E, Лист2!$A:$A, $A464, Лист2!$B:$B, $B464)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SUMIFS(Лист2!$C:$C, Лист2!$A:$A, $A465, Лист2!$B:$B, $B465)</f>
        <v>15</v>
      </c>
      <c r="F465" s="7">
        <f>SUMIFS(Лист2!$D:$D, Лист2!$A:$A, $A465, Лист2!$B:$B, $B465)</f>
        <v>729</v>
      </c>
      <c r="G465" s="7">
        <f>SUMIFS(Лист2!$E:$E, Лист2!$A:$A, $A465, Лист2!$B:$B, $B465)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SUMIFS(Лист2!$C:$C, Лист2!$A:$A, $A466, Лист2!$B:$B, $B466)</f>
        <v>15</v>
      </c>
      <c r="F466" s="7">
        <f>SUMIFS(Лист2!$D:$D, Лист2!$A:$A, $A466, Лист2!$B:$B, $B466)</f>
        <v>638</v>
      </c>
      <c r="G466" s="7">
        <f>SUMIFS(Лист2!$E:$E, Лист2!$A:$A, $A466, Лист2!$B:$B, $B466)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SUMIFS(Лист2!$C:$C, Лист2!$A:$A, $A467, Лист2!$B:$B, $B467)</f>
        <v>15</v>
      </c>
      <c r="F467" s="7">
        <f>SUMIFS(Лист2!$D:$D, Лист2!$A:$A, $A467, Лист2!$B:$B, $B467)</f>
        <v>688</v>
      </c>
      <c r="G467" s="7">
        <f>SUMIFS(Лист2!$E:$E, Лист2!$A:$A, $A467, Лист2!$B:$B, $B467)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SUMIFS(Лист2!$C:$C, Лист2!$A:$A, $A468, Лист2!$B:$B, $B468)</f>
        <v>20</v>
      </c>
      <c r="F468" s="7">
        <f>SUMIFS(Лист2!$D:$D, Лист2!$A:$A, $A468, Лист2!$B:$B, $B468)</f>
        <v>1873</v>
      </c>
      <c r="G468" s="7">
        <f>SUMIFS(Лист2!$E:$E, Лист2!$A:$A, $A468, Лист2!$B:$B, $B468)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SUMIFS(Лист2!$C:$C, Лист2!$A:$A, $A469, Лист2!$B:$B, $B469)</f>
        <v>19</v>
      </c>
      <c r="F469" s="7">
        <f>SUMIFS(Лист2!$D:$D, Лист2!$A:$A, $A469, Лист2!$B:$B, $B469)</f>
        <v>1859</v>
      </c>
      <c r="G469" s="7">
        <f>SUMIFS(Лист2!$E:$E, Лист2!$A:$A, $A469, Лист2!$B:$B, $B469)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SUMIFS(Лист2!$C:$C, Лист2!$A:$A, $A470, Лист2!$B:$B, $B470)</f>
        <v>21</v>
      </c>
      <c r="F470" s="7">
        <f>SUMIFS(Лист2!$D:$D, Лист2!$A:$A, $A470, Лист2!$B:$B, $B470)</f>
        <v>1879</v>
      </c>
      <c r="G470" s="7">
        <f>SUMIFS(Лист2!$E:$E, Лист2!$A:$A, $A470, Лист2!$B:$B, $B470)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SUMIFS(Лист2!$C:$C, Лист2!$A:$A, $A471, Лист2!$B:$B, $B471)</f>
        <v>19</v>
      </c>
      <c r="F471" s="7">
        <f>SUMIFS(Лист2!$D:$D, Лист2!$A:$A, $A471, Лист2!$B:$B, $B471)</f>
        <v>1527</v>
      </c>
      <c r="G471" s="7">
        <f>SUMIFS(Лист2!$E:$E, Лист2!$A:$A, $A471, Лист2!$B:$B, $B471)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SUMIFS(Лист2!$C:$C, Лист2!$A:$A, $A472, Лист2!$B:$B, $B472)</f>
        <v>16</v>
      </c>
      <c r="F472" s="7">
        <f>SUMIFS(Лист2!$D:$D, Лист2!$A:$A, $A472, Лист2!$B:$B, $B472)</f>
        <v>981</v>
      </c>
      <c r="G472" s="7">
        <f>SUMIFS(Лист2!$E:$E, Лист2!$A:$A, $A472, Лист2!$B:$B, $B472)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SUMIFS(Лист2!$C:$C, Лист2!$A:$A, $A473, Лист2!$B:$B, $B473)</f>
        <v>19</v>
      </c>
      <c r="F473" s="7">
        <f>SUMIFS(Лист2!$D:$D, Лист2!$A:$A, $A473, Лист2!$B:$B, $B473)</f>
        <v>1741</v>
      </c>
      <c r="G473" s="7">
        <f>SUMIFS(Лист2!$E:$E, Лист2!$A:$A, $A473, Лист2!$B:$B, $B473)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SUMIFS(Лист2!$C:$C, Лист2!$A:$A, $A474, Лист2!$B:$B, $B474)</f>
        <v>19</v>
      </c>
      <c r="F474" s="7">
        <f>SUMIFS(Лист2!$D:$D, Лист2!$A:$A, $A474, Лист2!$B:$B, $B474)</f>
        <v>1635</v>
      </c>
      <c r="G474" s="7">
        <f>SUMIFS(Лист2!$E:$E, Лист2!$A:$A, $A474, Лист2!$B:$B, $B474)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SUMIFS(Лист2!$C:$C, Лист2!$A:$A, $A475, Лист2!$B:$B, $B475)</f>
        <v>19</v>
      </c>
      <c r="F475" s="7">
        <f>SUMIFS(Лист2!$D:$D, Лист2!$A:$A, $A475, Лист2!$B:$B, $B475)</f>
        <v>1780</v>
      </c>
      <c r="G475" s="7">
        <f>SUMIFS(Лист2!$E:$E, Лист2!$A:$A, $A475, Лист2!$B:$B, $B475)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SUMIFS(Лист2!$C:$C, Лист2!$A:$A, $A476, Лист2!$B:$B, $B476)</f>
        <v>20</v>
      </c>
      <c r="F476" s="7">
        <f>SUMIFS(Лист2!$D:$D, Лист2!$A:$A, $A476, Лист2!$B:$B, $B476)</f>
        <v>2064</v>
      </c>
      <c r="G476" s="7">
        <f>SUMIFS(Лист2!$E:$E, Лист2!$A:$A, $A476, Лист2!$B:$B, $B476)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SUMIFS(Лист2!$C:$C, Лист2!$A:$A, $A477, Лист2!$B:$B, $B477)</f>
        <v>59</v>
      </c>
      <c r="F477" s="7">
        <f>SUMIFS(Лист2!$D:$D, Лист2!$A:$A, $A477, Лист2!$B:$B, $B477)</f>
        <v>13942</v>
      </c>
      <c r="G477" s="7">
        <f>SUMIFS(Лист2!$E:$E, Лист2!$A:$A, $A477, Лист2!$B:$B, $B477)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SUMIFS(Лист2!$C:$C, Лист2!$A:$A, $A478, Лист2!$B:$B, $B478)</f>
        <v>60</v>
      </c>
      <c r="F478" s="7">
        <f>SUMIFS(Лист2!$D:$D, Лист2!$A:$A, $A478, Лист2!$B:$B, $B478)</f>
        <v>14050</v>
      </c>
      <c r="G478" s="7">
        <f>SUMIFS(Лист2!$E:$E, Лист2!$A:$A, $A478, Лист2!$B:$B, $B478)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SUMIFS(Лист2!$C:$C, Лист2!$A:$A, $A479, Лист2!$B:$B, $B479)</f>
        <v>59</v>
      </c>
      <c r="F479" s="7">
        <f>SUMIFS(Лист2!$D:$D, Лист2!$A:$A, $A479, Лист2!$B:$B, $B479)</f>
        <v>12299</v>
      </c>
      <c r="G479" s="7">
        <f>SUMIFS(Лист2!$E:$E, Лист2!$A:$A, $A479, Лист2!$B:$B, $B479)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SUMIFS(Лист2!$C:$C, Лист2!$A:$A, $A480, Лист2!$B:$B, $B480)</f>
        <v>60</v>
      </c>
      <c r="F480" s="7">
        <f>SUMIFS(Лист2!$D:$D, Лист2!$A:$A, $A480, Лист2!$B:$B, $B480)</f>
        <v>11100</v>
      </c>
      <c r="G480" s="7">
        <f>SUMIFS(Лист2!$E:$E, Лист2!$A:$A, $A480, Лист2!$B:$B, $B480)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SUMIFS(Лист2!$C:$C, Лист2!$A:$A, $A481, Лист2!$B:$B, $B481)</f>
        <v>60</v>
      </c>
      <c r="F481" s="7">
        <f>SUMIFS(Лист2!$D:$D, Лист2!$A:$A, $A481, Лист2!$B:$B, $B481)</f>
        <v>12460</v>
      </c>
      <c r="G481" s="7">
        <f>SUMIFS(Лист2!$E:$E, Лист2!$A:$A, $A481, Лист2!$B:$B, $B481)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SUMIFS(Лист2!$C:$C, Лист2!$A:$A, $A482, Лист2!$B:$B, $B482)</f>
        <v>60</v>
      </c>
      <c r="F482" s="7">
        <f>SUMIFS(Лист2!$D:$D, Лист2!$A:$A, $A482, Лист2!$B:$B, $B482)</f>
        <v>11935</v>
      </c>
      <c r="G482" s="7">
        <f>SUMIFS(Лист2!$E:$E, Лист2!$A:$A, $A482, Лист2!$B:$B, $B482)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SUMIFS(Лист2!$C:$C, Лист2!$A:$A, $A483, Лист2!$B:$B, $B483)</f>
        <v>60</v>
      </c>
      <c r="F483" s="7">
        <f>SUMIFS(Лист2!$D:$D, Лист2!$A:$A, $A483, Лист2!$B:$B, $B483)</f>
        <v>13544</v>
      </c>
      <c r="G483" s="7">
        <f>SUMIFS(Лист2!$E:$E, Лист2!$A:$A, $A483, Лист2!$B:$B, $B483)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SUMIFS(Лист2!$C:$C, Лист2!$A:$A, $A484, Лист2!$B:$B, $B484)</f>
        <v>54</v>
      </c>
      <c r="F484" s="7">
        <f>SUMIFS(Лист2!$D:$D, Лист2!$A:$A, $A484, Лист2!$B:$B, $B484)</f>
        <v>13091</v>
      </c>
      <c r="G484" s="7">
        <f>SUMIFS(Лист2!$E:$E, Лист2!$A:$A, $A484, Лист2!$B:$B, $B484)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SUMIFS(Лист2!$C:$C, Лист2!$A:$A, $A485, Лист2!$B:$B, $B485)</f>
        <v>54</v>
      </c>
      <c r="F485" s="7">
        <f>SUMIFS(Лист2!$D:$D, Лист2!$A:$A, $A485, Лист2!$B:$B, $B485)</f>
        <v>13014</v>
      </c>
      <c r="G485" s="7">
        <f>SUMIFS(Лист2!$E:$E, Лист2!$A:$A, $A485, Лист2!$B:$B, $B485)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SUMIFS(Лист2!$C:$C, Лист2!$A:$A, $A486, Лист2!$B:$B, $B486)</f>
        <v>54</v>
      </c>
      <c r="F486" s="7">
        <f>SUMIFS(Лист2!$D:$D, Лист2!$A:$A, $A486, Лист2!$B:$B, $B486)</f>
        <v>11864</v>
      </c>
      <c r="G486" s="7">
        <f>SUMIFS(Лист2!$E:$E, Лист2!$A:$A, $A486, Лист2!$B:$B, $B486)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SUMIFS(Лист2!$C:$C, Лист2!$A:$A, $A487, Лист2!$B:$B, $B487)</f>
        <v>54</v>
      </c>
      <c r="F487" s="7">
        <f>SUMIFS(Лист2!$D:$D, Лист2!$A:$A, $A487, Лист2!$B:$B, $B487)</f>
        <v>10570</v>
      </c>
      <c r="G487" s="7">
        <f>SUMIFS(Лист2!$E:$E, Лист2!$A:$A, $A487, Лист2!$B:$B, $B487)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SUMIFS(Лист2!$C:$C, Лист2!$A:$A, $A488, Лист2!$B:$B, $B488)</f>
        <v>59</v>
      </c>
      <c r="F488" s="7">
        <f>SUMIFS(Лист2!$D:$D, Лист2!$A:$A, $A488, Лист2!$B:$B, $B488)</f>
        <v>14507</v>
      </c>
      <c r="G488" s="7">
        <f>SUMIFS(Лист2!$E:$E, Лист2!$A:$A, $A488, Лист2!$B:$B, $B488)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SUMIFS(Лист2!$C:$C, Лист2!$A:$A, $A489, Лист2!$B:$B, $B489)</f>
        <v>54</v>
      </c>
      <c r="F489" s="7">
        <f>SUMIFS(Лист2!$D:$D, Лист2!$A:$A, $A489, Лист2!$B:$B, $B489)</f>
        <v>12012</v>
      </c>
      <c r="G489" s="7">
        <f>SUMIFS(Лист2!$E:$E, Лист2!$A:$A, $A489, Лист2!$B:$B, $B489)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SUMIFS(Лист2!$C:$C, Лист2!$A:$A, $A490, Лист2!$B:$B, $B490)</f>
        <v>54</v>
      </c>
      <c r="F490" s="7">
        <f>SUMIFS(Лист2!$D:$D, Лист2!$A:$A, $A490, Лист2!$B:$B, $B490)</f>
        <v>11194</v>
      </c>
      <c r="G490" s="7">
        <f>SUMIFS(Лист2!$E:$E, Лист2!$A:$A, $A490, Лист2!$B:$B, $B490)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SUMIFS(Лист2!$C:$C, Лист2!$A:$A, $A491, Лист2!$B:$B, $B491)</f>
        <v>54</v>
      </c>
      <c r="F491" s="7">
        <f>SUMIFS(Лист2!$D:$D, Лист2!$A:$A, $A491, Лист2!$B:$B, $B491)</f>
        <v>12791</v>
      </c>
      <c r="G491" s="7">
        <f>SUMIFS(Лист2!$E:$E, Лист2!$A:$A, $A491, Лист2!$B:$B, $B491)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SUMIFS(Лист2!$C:$C, Лист2!$A:$A, $A492, Лист2!$B:$B, $B492)</f>
        <v>54</v>
      </c>
      <c r="F492" s="7">
        <f>SUMIFS(Лист2!$D:$D, Лист2!$A:$A, $A492, Лист2!$B:$B, $B492)</f>
        <v>14031</v>
      </c>
      <c r="G492" s="7">
        <f>SUMIFS(Лист2!$E:$E, Лист2!$A:$A, $A492, Лист2!$B:$B, $B492)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SUMIFS(Лист2!$C:$C, Лист2!$A:$A, $A493, Лист2!$B:$B, $B493)</f>
        <v>7</v>
      </c>
      <c r="F493" s="7">
        <f>SUMIFS(Лист2!$D:$D, Лист2!$A:$A, $A493, Лист2!$B:$B, $B493)</f>
        <v>409</v>
      </c>
      <c r="G493" s="7">
        <f>SUMIFS(Лист2!$E:$E, Лист2!$A:$A, $A493, Лист2!$B:$B, $B493)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SUMIFS(Лист2!$C:$C, Лист2!$A:$A, $A494, Лист2!$B:$B, $B494)</f>
        <v>18</v>
      </c>
      <c r="F494" s="7">
        <f>SUMIFS(Лист2!$D:$D, Лист2!$A:$A, $A494, Лист2!$B:$B, $B494)</f>
        <v>985</v>
      </c>
      <c r="G494" s="7">
        <f>SUMIFS(Лист2!$E:$E, Лист2!$A:$A, $A494, Лист2!$B:$B, $B494)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5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SUMIFS(Лист2!$C:$C, Лист2!$A:$A, $A495, Лист2!$B:$B, $B495)</f>
        <v>9</v>
      </c>
      <c r="F495" s="7">
        <f>SUMIFS(Лист2!$D:$D, Лист2!$A:$A, $A495, Лист2!$B:$B, $B495)</f>
        <v>294</v>
      </c>
      <c r="G495" s="7">
        <f>SUMIFS(Лист2!$E:$E, Лист2!$A:$A, $A495, Лист2!$B:$B, $B495)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SUMIFS(Лист2!$C:$C, Лист2!$A:$A, $A496, Лист2!$B:$B, $B496)</f>
        <v>15</v>
      </c>
      <c r="F496" s="7">
        <f>SUMIFS(Лист2!$D:$D, Лист2!$A:$A, $A496, Лист2!$B:$B, $B496)</f>
        <v>654</v>
      </c>
      <c r="G496" s="7">
        <f>SUMIFS(Лист2!$E:$E, Лист2!$A:$A, $A496, Лист2!$B:$B, $B496)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SUMIFS(Лист2!$C:$C, Лист2!$A:$A, $A497, Лист2!$B:$B, $B497)</f>
        <v>16</v>
      </c>
      <c r="F497" s="7">
        <f>SUMIFS(Лист2!$D:$D, Лист2!$A:$A, $A497, Лист2!$B:$B, $B497)</f>
        <v>864</v>
      </c>
      <c r="G497" s="7">
        <f>SUMIFS(Лист2!$E:$E, Лист2!$A:$A, $A497, Лист2!$B:$B, $B497)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SUMIFS(Лист2!$C:$C, Лист2!$A:$A, $A498, Лист2!$B:$B, $B498)</f>
        <v>16</v>
      </c>
      <c r="F498" s="7">
        <f>SUMIFS(Лист2!$D:$D, Лист2!$A:$A, $A498, Лист2!$B:$B, $B498)</f>
        <v>834</v>
      </c>
      <c r="G498" s="7">
        <f>SUMIFS(Лист2!$E:$E, Лист2!$A:$A, $A498, Лист2!$B:$B, $B498)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SUMIFS(Лист2!$C:$C, Лист2!$A:$A, $A499, Лист2!$B:$B, $B499)</f>
        <v>16</v>
      </c>
      <c r="F499" s="7">
        <f>SUMIFS(Лист2!$D:$D, Лист2!$A:$A, $A499, Лист2!$B:$B, $B499)</f>
        <v>817</v>
      </c>
      <c r="G499" s="7">
        <f>SUMIFS(Лист2!$E:$E, Лист2!$A:$A, $A499, Лист2!$B:$B, $B499)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SUMIFS(Лист2!$C:$C, Лист2!$A:$A, $A500, Лист2!$B:$B, $B500)</f>
        <v>18</v>
      </c>
      <c r="F500" s="7">
        <f>SUMIFS(Лист2!$D:$D, Лист2!$A:$A, $A500, Лист2!$B:$B, $B500)</f>
        <v>962</v>
      </c>
      <c r="G500" s="7">
        <f>SUMIFS(Лист2!$E:$E, Лист2!$A:$A, $A500, Лист2!$B:$B, $B500)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SUMIFS(Лист2!$C:$C, Лист2!$A:$A, $A501, Лист2!$B:$B, $B501)</f>
        <v>6</v>
      </c>
      <c r="F501" s="7">
        <f>SUMIFS(Лист2!$D:$D, Лист2!$A:$A, $A501, Лист2!$B:$B, $B501)</f>
        <v>237</v>
      </c>
      <c r="G501" s="7">
        <f>SUMIFS(Лист2!$E:$E, Лист2!$A:$A, $A501, Лист2!$B:$B, $B501)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SUMIFS(Лист2!$C:$C, Лист2!$A:$A, $A502, Лист2!$B:$B, $B502)</f>
        <v>7</v>
      </c>
      <c r="F502" s="7">
        <f>SUMIFS(Лист2!$D:$D, Лист2!$A:$A, $A502, Лист2!$B:$B, $B502)</f>
        <v>491</v>
      </c>
      <c r="G502" s="7">
        <f>SUMIFS(Лист2!$E:$E, Лист2!$A:$A, $A502, Лист2!$B:$B, $B502)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SUMIFS(Лист2!$C:$C, Лист2!$A:$A, $A503, Лист2!$B:$B, $B503)</f>
        <v>7</v>
      </c>
      <c r="F503" s="7">
        <f>SUMIFS(Лист2!$D:$D, Лист2!$A:$A, $A503, Лист2!$B:$B, $B503)</f>
        <v>500</v>
      </c>
      <c r="G503" s="7">
        <f>SUMIFS(Лист2!$E:$E, Лист2!$A:$A, $A503, Лист2!$B:$B, $B503)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SUMIFS(Лист2!$C:$C, Лист2!$A:$A, $A504, Лист2!$B:$B, $B504)</f>
        <v>18</v>
      </c>
      <c r="F504" s="7">
        <f>SUMIFS(Лист2!$D:$D, Лист2!$A:$A, $A504, Лист2!$B:$B, $B504)</f>
        <v>1014</v>
      </c>
      <c r="G504" s="7">
        <f>SUMIFS(Лист2!$E:$E, Лист2!$A:$A, $A504, Лист2!$B:$B, $B504)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SUMIFS(Лист2!$C:$C, Лист2!$A:$A, $A505, Лист2!$B:$B, $B505)</f>
        <v>18</v>
      </c>
      <c r="F505" s="7">
        <f>SUMIFS(Лист2!$D:$D, Лист2!$A:$A, $A505, Лист2!$B:$B, $B505)</f>
        <v>923</v>
      </c>
      <c r="G505" s="7">
        <f>SUMIFS(Лист2!$E:$E, Лист2!$A:$A, $A505, Лист2!$B:$B, $B505)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5"/>
    <row r="507" spans="1:9" ht="14.25" customHeight="1" x14ac:dyDescent="0.35"/>
    <row r="508" spans="1:9" ht="14.25" customHeight="1" x14ac:dyDescent="0.35"/>
    <row r="509" spans="1:9" ht="14.25" customHeight="1" x14ac:dyDescent="0.35"/>
    <row r="510" spans="1:9" ht="14.25" customHeight="1" x14ac:dyDescent="0.35"/>
    <row r="511" spans="1:9" ht="14.25" customHeight="1" x14ac:dyDescent="0.35"/>
    <row r="512" spans="1:9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22.7265625" customWidth="1"/>
    <col min="4" max="4" width="22.08984375" customWidth="1"/>
    <col min="5" max="5" width="25.453125" customWidth="1"/>
    <col min="6" max="26" width="8.7265625" customWidth="1"/>
  </cols>
  <sheetData>
    <row r="1" spans="1:5" ht="14.25" customHeight="1" x14ac:dyDescent="0.3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5"/>
    <row r="507" spans="1:5" ht="14.25" customHeight="1" x14ac:dyDescent="0.35"/>
    <row r="508" spans="1:5" ht="14.25" customHeight="1" x14ac:dyDescent="0.35"/>
    <row r="509" spans="1:5" ht="14.25" customHeight="1" x14ac:dyDescent="0.35"/>
    <row r="510" spans="1:5" ht="14.25" customHeight="1" x14ac:dyDescent="0.35"/>
    <row r="511" spans="1:5" ht="14.25" customHeight="1" x14ac:dyDescent="0.35"/>
    <row r="512" spans="1: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E2E7-421D-47BD-B423-A3753407448D}">
  <dimension ref="A1:O19"/>
  <sheetViews>
    <sheetView tabSelected="1" zoomScale="85" zoomScaleNormal="85" workbookViewId="0">
      <selection activeCell="N14" sqref="N14"/>
    </sheetView>
  </sheetViews>
  <sheetFormatPr defaultRowHeight="14.5" x14ac:dyDescent="0.35"/>
  <cols>
    <col min="1" max="1" width="21.26953125" bestFit="1" customWidth="1"/>
    <col min="2" max="2" width="11.81640625" bestFit="1" customWidth="1"/>
    <col min="7" max="7" width="21.26953125" bestFit="1" customWidth="1"/>
    <col min="11" max="11" width="33.36328125" bestFit="1" customWidth="1"/>
    <col min="14" max="14" width="24" bestFit="1" customWidth="1"/>
    <col min="15" max="15" width="21.453125" bestFit="1" customWidth="1"/>
  </cols>
  <sheetData>
    <row r="1" spans="1:15" x14ac:dyDescent="0.35">
      <c r="A1" s="16" t="s">
        <v>1</v>
      </c>
      <c r="B1" s="16" t="s">
        <v>27</v>
      </c>
      <c r="C1" s="16" t="s">
        <v>28</v>
      </c>
      <c r="D1" s="16" t="s">
        <v>31</v>
      </c>
      <c r="E1" s="16">
        <f>MAX(Лист1!$I:$I)</f>
        <v>23</v>
      </c>
      <c r="F1" s="20" t="s">
        <v>29</v>
      </c>
      <c r="G1" s="20" t="s">
        <v>32</v>
      </c>
      <c r="J1" s="20" t="s">
        <v>29</v>
      </c>
      <c r="K1" s="20" t="s">
        <v>30</v>
      </c>
      <c r="M1" s="17" t="s">
        <v>8</v>
      </c>
      <c r="N1" s="17" t="s">
        <v>33</v>
      </c>
      <c r="O1" s="17" t="s">
        <v>7</v>
      </c>
    </row>
    <row r="2" spans="1:15" x14ac:dyDescent="0.35">
      <c r="A2" t="s">
        <v>16</v>
      </c>
      <c r="B2">
        <f>SUMIF(Лист1!$B:$B, A2, Лист1!$D:$D)</f>
        <v>218000127</v>
      </c>
      <c r="C2" s="13">
        <f>B2 / SUM($B$2:$B$19)</f>
        <v>4.3930742911644949E-2</v>
      </c>
      <c r="D2">
        <f>AVERAGEIFS(Лист1!$H:$H, Лист1!$B:$B, A2, Лист1!$I:$I, $E$1)</f>
        <v>156764.59459459459</v>
      </c>
      <c r="F2" s="18">
        <v>1</v>
      </c>
      <c r="G2" s="18" t="str">
        <f>INDEX($A$2:$A$19, MATCH(LARGE($C$2:$C$19, 1), $C$2:$C$19, 0))</f>
        <v>Санкт-Петербург Север</v>
      </c>
      <c r="J2" s="19">
        <v>1</v>
      </c>
      <c r="K2" s="18" t="str">
        <f>INDEX($A$2:$A$19, MATCH(LARGE($D$2:$D$19, 1), $D$2:$D$19, 0))</f>
        <v>Москва Восток</v>
      </c>
      <c r="M2">
        <v>18</v>
      </c>
      <c r="N2">
        <f>SUMIF(Лист1!$I:$I, M2, Лист1!$D:$D)</f>
        <v>836803032</v>
      </c>
      <c r="O2">
        <f>AVERAGEIF(Лист1!$I:$I, M2, Лист1!$H:$H)</f>
        <v>183538.89615147864</v>
      </c>
    </row>
    <row r="3" spans="1:15" x14ac:dyDescent="0.35">
      <c r="A3" t="s">
        <v>11</v>
      </c>
      <c r="B3">
        <f>SUMIF(Лист1!$B:$B, A3, Лист1!$D:$D)</f>
        <v>243409003.5</v>
      </c>
      <c r="C3" s="13">
        <f t="shared" ref="C3:C19" si="0">B3 / SUM($B$2:$B$19)</f>
        <v>4.9051064796573195E-2</v>
      </c>
      <c r="D3">
        <f>AVERAGEIFS(Лист1!$H:$H, Лист1!$B:$B, A3, Лист1!$I:$I, $E$1)</f>
        <v>220320.04838709679</v>
      </c>
      <c r="F3" s="18">
        <v>2</v>
      </c>
      <c r="G3" s="18" t="str">
        <f>INDEX($A$2:$A$19, MATCH(LARGE($C$2:$C$19, 2), $C$2:$C$19, 0))</f>
        <v>Санкт-Петербург Юг</v>
      </c>
      <c r="J3" s="18">
        <v>2</v>
      </c>
      <c r="K3" s="18" t="str">
        <f>INDEX($A$2:$A$19, MATCH(LARGE($D$2:$D$19, 2), $D$2:$D$19, 0))</f>
        <v>Москва Запад</v>
      </c>
      <c r="M3">
        <v>19</v>
      </c>
      <c r="N3">
        <f>SUMIF(Лист1!$I:$I, M3, Лист1!$D:$D)</f>
        <v>983915409.85664999</v>
      </c>
      <c r="O3">
        <f>AVERAGEIF(Лист1!$I:$I, M3, Лист1!$H:$H)</f>
        <v>181743.53575290408</v>
      </c>
    </row>
    <row r="4" spans="1:15" x14ac:dyDescent="0.35">
      <c r="A4" t="s">
        <v>17</v>
      </c>
      <c r="B4">
        <f>SUMIF(Лист1!$B:$B, A4, Лист1!$D:$D)</f>
        <v>120582837</v>
      </c>
      <c r="C4" s="13">
        <f t="shared" si="0"/>
        <v>2.4299497824621857E-2</v>
      </c>
      <c r="D4">
        <f>AVERAGEIFS(Лист1!$H:$H, Лист1!$B:$B, A4, Лист1!$I:$I, $E$1)</f>
        <v>168054.39130434784</v>
      </c>
      <c r="F4" s="18">
        <v>3</v>
      </c>
      <c r="G4" s="18" t="str">
        <f>INDEX($A$2:$A$19, MATCH(LARGE($C$2:$C$19, 3), $C$2:$C$19, 0))</f>
        <v>Москва Запад</v>
      </c>
      <c r="J4" s="18">
        <v>3</v>
      </c>
      <c r="K4" s="18" t="str">
        <f>INDEX($A$2:$A$19, MATCH(LARGE($D$2:$D$19, 3), $D$2:$D$19, 0))</f>
        <v>Санкт-Петербург Север</v>
      </c>
      <c r="M4">
        <v>20</v>
      </c>
      <c r="N4">
        <f>SUMIF(Лист1!$I:$I, M4, Лист1!$D:$D)</f>
        <v>947263006.72395003</v>
      </c>
      <c r="O4">
        <f>AVERAGEIF(Лист1!$I:$I, M4, Лист1!$H:$H)</f>
        <v>178616.64545407731</v>
      </c>
    </row>
    <row r="5" spans="1:15" x14ac:dyDescent="0.35">
      <c r="A5" t="s">
        <v>10</v>
      </c>
      <c r="B5">
        <f>SUMIF(Лист1!$B:$B, A5, Лист1!$D:$D)</f>
        <v>101673535.5</v>
      </c>
      <c r="C5" s="13">
        <f t="shared" si="0"/>
        <v>2.0488951132439048E-2</v>
      </c>
      <c r="D5">
        <f>AVERAGEIFS(Лист1!$H:$H, Лист1!$B:$B, A5, Лист1!$I:$I, $E$1)</f>
        <v>140239.78571428571</v>
      </c>
      <c r="M5">
        <v>21</v>
      </c>
      <c r="N5">
        <f>SUMIF(Лист1!$I:$I, M5, Лист1!$D:$D)</f>
        <v>1002691883.0466</v>
      </c>
      <c r="O5">
        <f>AVERAGEIF(Лист1!$I:$I, M5, Лист1!$H:$H)</f>
        <v>191353.00752023421</v>
      </c>
    </row>
    <row r="6" spans="1:15" x14ac:dyDescent="0.35">
      <c r="A6" t="s">
        <v>20</v>
      </c>
      <c r="B6">
        <f>SUMIF(Лист1!$B:$B, A6, Лист1!$D:$D)</f>
        <v>85862581.5</v>
      </c>
      <c r="C6" s="13">
        <f t="shared" si="0"/>
        <v>1.7302774294285901E-2</v>
      </c>
      <c r="D6">
        <f>AVERAGEIFS(Лист1!$H:$H, Лист1!$B:$B, A6, Лист1!$I:$I, $E$1)</f>
        <v>120903.21428571429</v>
      </c>
      <c r="M6">
        <v>22</v>
      </c>
      <c r="N6">
        <f>SUMIF(Лист1!$I:$I, M6, Лист1!$D:$D)</f>
        <v>1055653508.75385</v>
      </c>
      <c r="O6">
        <f>AVERAGEIF(Лист1!$I:$I, M6, Лист1!$H:$H)</f>
        <v>185990.79014875146</v>
      </c>
    </row>
    <row r="7" spans="1:15" x14ac:dyDescent="0.35">
      <c r="A7" s="6" t="s">
        <v>22</v>
      </c>
      <c r="B7">
        <f>SUMIF(Лист1!$B:$B, A7, Лист1!$D:$D)</f>
        <v>738124428</v>
      </c>
      <c r="C7" s="13">
        <f t="shared" si="0"/>
        <v>0.1487446586821162</v>
      </c>
      <c r="D7">
        <f>AVERAGEIFS(Лист1!$H:$H, Лист1!$B:$B, A7, Лист1!$I:$I, $E$1)</f>
        <v>350262.86111111112</v>
      </c>
      <c r="M7">
        <v>23</v>
      </c>
      <c r="N7">
        <f>SUMIF(Лист1!$I:$I, M7, Лист1!$D:$D)</f>
        <v>136032376.68134999</v>
      </c>
      <c r="O7">
        <f>AVERAGEIF(Лист1!$I:$I, M7, Лист1!$H:$H)</f>
        <v>154780.07975981152</v>
      </c>
    </row>
    <row r="8" spans="1:15" x14ac:dyDescent="0.35">
      <c r="A8" s="9" t="s">
        <v>21</v>
      </c>
      <c r="B8">
        <f>SUMIF(Лист1!$B:$B, A8, Лист1!$D:$D)</f>
        <v>774146953.5</v>
      </c>
      <c r="C8" s="13">
        <f t="shared" si="0"/>
        <v>0.15600381182365852</v>
      </c>
      <c r="D8">
        <f>AVERAGEIFS(Лист1!$H:$H, Лист1!$B:$B, A8, Лист1!$I:$I, $E$1)</f>
        <v>329921.56779661018</v>
      </c>
    </row>
    <row r="9" spans="1:15" x14ac:dyDescent="0.35">
      <c r="A9" s="14" t="s">
        <v>13</v>
      </c>
      <c r="B9">
        <f>SUMIF(Лист1!$B:$B, A9, Лист1!$D:$D)</f>
        <v>95592298.5</v>
      </c>
      <c r="C9" s="13">
        <f t="shared" si="0"/>
        <v>1.9263478180160522E-2</v>
      </c>
      <c r="D9">
        <f>AVERAGEIFS(Лист1!$H:$H, Лист1!$B:$B, A9, Лист1!$I:$I, $E$1)</f>
        <v>150675.6</v>
      </c>
    </row>
    <row r="10" spans="1:15" x14ac:dyDescent="0.35">
      <c r="A10" s="6" t="s">
        <v>23</v>
      </c>
      <c r="B10">
        <f>SUMIF(Лист1!$B:$B, A10, Лист1!$D:$D)</f>
        <v>41034630</v>
      </c>
      <c r="C10" s="13">
        <f t="shared" si="0"/>
        <v>8.2691776643069263E-3</v>
      </c>
      <c r="D10">
        <f>AVERAGEIFS(Лист1!$H:$H, Лист1!$B:$B, A10, Лист1!$I:$I, $E$1)</f>
        <v>71845.5</v>
      </c>
    </row>
    <row r="11" spans="1:15" x14ac:dyDescent="0.35">
      <c r="A11" s="9" t="s">
        <v>18</v>
      </c>
      <c r="B11">
        <f>SUMIF(Лист1!$B:$B, A11, Лист1!$D:$D)</f>
        <v>48803040</v>
      </c>
      <c r="C11" s="13">
        <f t="shared" si="0"/>
        <v>9.8346447456277158E-3</v>
      </c>
      <c r="D11">
        <f>AVERAGEIFS(Лист1!$H:$H, Лист1!$B:$B, A11, Лист1!$I:$I, $E$1)</f>
        <v>89800.5</v>
      </c>
    </row>
    <row r="12" spans="1:15" x14ac:dyDescent="0.35">
      <c r="A12" s="6" t="s">
        <v>19</v>
      </c>
      <c r="B12">
        <f>SUMIF(Лист1!$B:$B, A12, Лист1!$D:$D)</f>
        <v>34816548</v>
      </c>
      <c r="C12" s="13">
        <f t="shared" si="0"/>
        <v>7.016128111058147E-3</v>
      </c>
      <c r="D12">
        <f>AVERAGEIFS(Лист1!$H:$H, Лист1!$B:$B, A12, Лист1!$I:$I, $E$1)</f>
        <v>97852.03125</v>
      </c>
    </row>
    <row r="13" spans="1:15" x14ac:dyDescent="0.35">
      <c r="A13" s="14" t="s">
        <v>9</v>
      </c>
      <c r="B13">
        <f>SUMIF(Лист1!$B:$B, A13, Лист1!$D:$D)</f>
        <v>3342598.5</v>
      </c>
      <c r="C13" s="13">
        <f t="shared" si="0"/>
        <v>6.735905954786441E-4</v>
      </c>
      <c r="D13">
        <f>AVERAGEIFS(Лист1!$H:$H, Лист1!$B:$B, A13, Лист1!$I:$I, $E$1)</f>
        <v>42423</v>
      </c>
    </row>
    <row r="14" spans="1:15" x14ac:dyDescent="0.35">
      <c r="A14" s="15" t="s">
        <v>15</v>
      </c>
      <c r="B14">
        <f>SUMIF(Лист1!$B:$B, A14, Лист1!$D:$D)</f>
        <v>1380723900.7513499</v>
      </c>
      <c r="C14" s="13">
        <f t="shared" si="0"/>
        <v>0.27823940999755076</v>
      </c>
      <c r="D14">
        <f>AVERAGEIFS(Лист1!$H:$H, Лист1!$B:$B, A14, Лист1!$I:$I, $E$1)</f>
        <v>302909.26976707316</v>
      </c>
    </row>
    <row r="15" spans="1:15" x14ac:dyDescent="0.35">
      <c r="A15" s="14" t="s">
        <v>14</v>
      </c>
      <c r="B15">
        <f>SUMIF(Лист1!$B:$B, A15, Лист1!$D:$D)</f>
        <v>1035612381.8110501</v>
      </c>
      <c r="C15" s="13">
        <f t="shared" si="0"/>
        <v>0.20869355411640439</v>
      </c>
      <c r="D15">
        <f>AVERAGEIFS(Лист1!$H:$H, Лист1!$B:$B, A15, Лист1!$I:$I, $E$1)</f>
        <v>216953.84765625</v>
      </c>
    </row>
    <row r="16" spans="1:15" x14ac:dyDescent="0.35">
      <c r="A16" t="s">
        <v>12</v>
      </c>
      <c r="B16">
        <f>SUMIF(Лист1!$B:$B, A16, Лист1!$D:$D)</f>
        <v>33207564</v>
      </c>
      <c r="C16" s="13">
        <f t="shared" si="0"/>
        <v>6.6918903987886027E-3</v>
      </c>
      <c r="D16">
        <f>AVERAGEIFS(Лист1!$H:$H, Лист1!$B:$B, A16, Лист1!$I:$I, $E$1)</f>
        <v>100774.2</v>
      </c>
    </row>
    <row r="17" spans="1:4" x14ac:dyDescent="0.35">
      <c r="A17" t="s">
        <v>25</v>
      </c>
      <c r="B17">
        <f>SUMIF(Лист1!$B:$B, A17, Лист1!$D:$D)</f>
        <v>882906</v>
      </c>
      <c r="C17" s="13">
        <f t="shared" si="0"/>
        <v>1.779206142441779E-4</v>
      </c>
      <c r="D17">
        <f>AVERAGEIFS(Лист1!$H:$H, Лист1!$B:$B, A17, Лист1!$I:$I, $E$1)</f>
        <v>43223.666666666664</v>
      </c>
    </row>
    <row r="18" spans="1:4" x14ac:dyDescent="0.35">
      <c r="A18" t="s">
        <v>24</v>
      </c>
      <c r="B18">
        <f>SUMIF(Лист1!$B:$B, A18, Лист1!$D:$D)</f>
        <v>5664156</v>
      </c>
      <c r="C18" s="13">
        <f t="shared" si="0"/>
        <v>1.1414240187458753E-3</v>
      </c>
      <c r="D18">
        <f>AVERAGEIFS(Лист1!$H:$H, Лист1!$B:$B, A18, Лист1!$I:$I, $E$1)</f>
        <v>114635.35714285714</v>
      </c>
    </row>
    <row r="19" spans="1:4" x14ac:dyDescent="0.35">
      <c r="A19" t="s">
        <v>26</v>
      </c>
      <c r="B19">
        <f>SUMIF(Лист1!$B:$B, A19, Лист1!$D:$D)</f>
        <v>879727.5</v>
      </c>
      <c r="C19" s="13">
        <f t="shared" si="0"/>
        <v>1.7728009229464408E-4</v>
      </c>
      <c r="D19">
        <f>AVERAGEIFS(Лист1!$H:$H, Лист1!$B:$B, A19, Лист1!$I:$I, $E$1)</f>
        <v>68482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Alisher</cp:lastModifiedBy>
  <dcterms:created xsi:type="dcterms:W3CDTF">2021-09-13T10:17:58Z</dcterms:created>
  <dcterms:modified xsi:type="dcterms:W3CDTF">2026-04-17T19:07:00Z</dcterms:modified>
</cp:coreProperties>
</file>